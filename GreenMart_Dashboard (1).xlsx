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aw Data" sheetId="1" state="visible" r:id="rId3"/>
    <sheet name="2. Cleaned Data" sheetId="2" state="visible" r:id="rId4"/>
    <sheet name="3. Data Dictionary" sheetId="3" state="visible" r:id="rId5"/>
    <sheet name="4. PivotTables" sheetId="4" state="visible" r:id="rId6"/>
    <sheet name="5. 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<sst xmlns="http://schemas.openxmlformats.org/spreadsheetml/2006/main" count="620" uniqueCount="143">
  <si>
    <t xml:space="preserve">Transaction_ID</t>
  </si>
  <si>
    <t xml:space="preserve">Date</t>
  </si>
  <si>
    <t xml:space="preserve">Product</t>
  </si>
  <si>
    <t xml:space="preserve">Category</t>
  </si>
  <si>
    <t xml:space="preserve">Branch</t>
  </si>
  <si>
    <t xml:space="preserve">Quantity</t>
  </si>
  <si>
    <t xml:space="preserve">Sales</t>
  </si>
  <si>
    <t xml:space="preserve">GM001</t>
  </si>
  <si>
    <t xml:space="preserve">Shampoo</t>
  </si>
  <si>
    <t xml:space="preserve">Personal Care</t>
  </si>
  <si>
    <t xml:space="preserve">Kajang</t>
  </si>
  <si>
    <t xml:space="preserve">GM002</t>
  </si>
  <si>
    <t xml:space="preserve">Flour</t>
  </si>
  <si>
    <t xml:space="preserve">Groceries</t>
  </si>
  <si>
    <t xml:space="preserve">Bangi</t>
  </si>
  <si>
    <t xml:space="preserve">GM003</t>
  </si>
  <si>
    <t xml:space="preserve">Coffee</t>
  </si>
  <si>
    <t xml:space="preserve">Beverages</t>
  </si>
  <si>
    <t xml:space="preserve">GM004</t>
  </si>
  <si>
    <t xml:space="preserve">Fruit Juice</t>
  </si>
  <si>
    <t xml:space="preserve">Shah Alam</t>
  </si>
  <si>
    <t xml:space="preserve">GM005</t>
  </si>
  <si>
    <t xml:space="preserve">Soap Bar</t>
  </si>
  <si>
    <t xml:space="preserve">GM006</t>
  </si>
  <si>
    <t xml:space="preserve">GM007</t>
  </si>
  <si>
    <t xml:space="preserve">Body Lotion</t>
  </si>
  <si>
    <t xml:space="preserve">Putrajaya</t>
  </si>
  <si>
    <t xml:space="preserve">GM008</t>
  </si>
  <si>
    <t xml:space="preserve">Detergent</t>
  </si>
  <si>
    <t xml:space="preserve">Household</t>
  </si>
  <si>
    <t xml:space="preserve">GM009</t>
  </si>
  <si>
    <t xml:space="preserve">GM010</t>
  </si>
  <si>
    <t xml:space="preserve">Soft Drink</t>
  </si>
  <si>
    <t xml:space="preserve">GM011</t>
  </si>
  <si>
    <t xml:space="preserve">GM012</t>
  </si>
  <si>
    <t xml:space="preserve">Dishwashing Liquid</t>
  </si>
  <si>
    <t xml:space="preserve">GM013</t>
  </si>
  <si>
    <t xml:space="preserve">Rice</t>
  </si>
  <si>
    <t xml:space="preserve">GM014</t>
  </si>
  <si>
    <t xml:space="preserve">GM015</t>
  </si>
  <si>
    <t xml:space="preserve">GM016</t>
  </si>
  <si>
    <t xml:space="preserve">Sugar</t>
  </si>
  <si>
    <t xml:space="preserve">GM017</t>
  </si>
  <si>
    <t xml:space="preserve">Tissue Paper</t>
  </si>
  <si>
    <t xml:space="preserve">GM018</t>
  </si>
  <si>
    <t xml:space="preserve">GM019</t>
  </si>
  <si>
    <t xml:space="preserve">Cooking Oil</t>
  </si>
  <si>
    <t xml:space="preserve">GM020</t>
  </si>
  <si>
    <t xml:space="preserve">GM021</t>
  </si>
  <si>
    <t xml:space="preserve">GM022</t>
  </si>
  <si>
    <t xml:space="preserve">Air Freshener</t>
  </si>
  <si>
    <t xml:space="preserve">GM023</t>
  </si>
  <si>
    <t xml:space="preserve">Mineral Water</t>
  </si>
  <si>
    <t xml:space="preserve">GM024</t>
  </si>
  <si>
    <t xml:space="preserve">GM025</t>
  </si>
  <si>
    <t xml:space="preserve">GM026</t>
  </si>
  <si>
    <t xml:space="preserve">GM027</t>
  </si>
  <si>
    <t xml:space="preserve">GM028</t>
  </si>
  <si>
    <t xml:space="preserve">GM029</t>
  </si>
  <si>
    <t xml:space="preserve">GM030</t>
  </si>
  <si>
    <t xml:space="preserve">GM031</t>
  </si>
  <si>
    <t xml:space="preserve">GM032</t>
  </si>
  <si>
    <t xml:space="preserve">GM033</t>
  </si>
  <si>
    <t xml:space="preserve">GM034</t>
  </si>
  <si>
    <t xml:space="preserve">GM035</t>
  </si>
  <si>
    <t xml:space="preserve">GM036</t>
  </si>
  <si>
    <t xml:space="preserve">GM037</t>
  </si>
  <si>
    <t xml:space="preserve">GM038</t>
  </si>
  <si>
    <t xml:space="preserve">GM039</t>
  </si>
  <si>
    <t xml:space="preserve">GM040</t>
  </si>
  <si>
    <t xml:space="preserve">GM041</t>
  </si>
  <si>
    <t xml:space="preserve">GM042</t>
  </si>
  <si>
    <t xml:space="preserve">Toothpaste</t>
  </si>
  <si>
    <t xml:space="preserve">GM043</t>
  </si>
  <si>
    <t xml:space="preserve">GM044</t>
  </si>
  <si>
    <t xml:space="preserve">GM045</t>
  </si>
  <si>
    <t xml:space="preserve">GM046</t>
  </si>
  <si>
    <t xml:space="preserve">GM047</t>
  </si>
  <si>
    <t xml:space="preserve">GM048</t>
  </si>
  <si>
    <t xml:space="preserve">GM049</t>
  </si>
  <si>
    <t xml:space="preserve">GM050</t>
  </si>
  <si>
    <t xml:space="preserve">GM051</t>
  </si>
  <si>
    <t xml:space="preserve">GM052</t>
  </si>
  <si>
    <t xml:space="preserve">GM053</t>
  </si>
  <si>
    <t xml:space="preserve">GM054</t>
  </si>
  <si>
    <t xml:space="preserve">GM055</t>
  </si>
  <si>
    <t xml:space="preserve">GM056</t>
  </si>
  <si>
    <t xml:space="preserve">GM057</t>
  </si>
  <si>
    <t xml:space="preserve">GM058</t>
  </si>
  <si>
    <t xml:space="preserve">GM059</t>
  </si>
  <si>
    <t xml:space="preserve">GM060</t>
  </si>
  <si>
    <t xml:space="preserve">GM061</t>
  </si>
  <si>
    <t xml:space="preserve">GM062</t>
  </si>
  <si>
    <t xml:space="preserve">GM063</t>
  </si>
  <si>
    <t xml:space="preserve">GM064</t>
  </si>
  <si>
    <t xml:space="preserve">GM065</t>
  </si>
  <si>
    <t xml:space="preserve">Note: No duplicate Transaction_IDs or blank fields were found in the raw data. Cleaning applied: trimmed extra spaces and standardised text casing (Product, Category, Branch) for consistent PivotTable grouping.</t>
  </si>
  <si>
    <t xml:space="preserve">Field</t>
  </si>
  <si>
    <t xml:space="preserve">Description</t>
  </si>
  <si>
    <t xml:space="preserve">Data Type</t>
  </si>
  <si>
    <t xml:space="preserve">Example</t>
  </si>
  <si>
    <t xml:space="preserve">Unique transaction number</t>
  </si>
  <si>
    <t xml:space="preserve">Text</t>
  </si>
  <si>
    <t xml:space="preserve">Transaction date</t>
  </si>
  <si>
    <t xml:space="preserve">07/01/2026</t>
  </si>
  <si>
    <t xml:space="preserve">Product purchased</t>
  </si>
  <si>
    <t xml:space="preserve">Product category</t>
  </si>
  <si>
    <t xml:space="preserve">Branch where purchase occurred</t>
  </si>
  <si>
    <t xml:space="preserve">Number of units sold</t>
  </si>
  <si>
    <t xml:space="preserve">Number</t>
  </si>
  <si>
    <t xml:space="preserve">9</t>
  </si>
  <si>
    <t xml:space="preserve">Total sales amount (Quantity x unit price)</t>
  </si>
  <si>
    <t xml:space="preserve">Currency</t>
  </si>
  <si>
    <t xml:space="preserve">RM144.00</t>
  </si>
  <si>
    <t xml:space="preserve">PivotTable Summaries (formula-driven, auto-updates from 2. Cleaned Data)</t>
  </si>
  <si>
    <t xml:space="preserve">Sales by Category</t>
  </si>
  <si>
    <t xml:space="preserve">Total Sales</t>
  </si>
  <si>
    <t xml:space="preserve">Monthly Sales Trend</t>
  </si>
  <si>
    <t xml:space="preserve">Month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</si>
  <si>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</si>
  <si>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</si>
  <si>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</si>
  <si>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</si>
  <si>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</si>
  <si>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Sales by Branch</t>
  </si>
  <si>
    <t xml:space="preserve">Top 4 Products</t>
  </si>
  <si>
    <t xml:space="preserve">Rank</t>
  </si>
  <si>
    <t xml:space="preserve">Note: Excel PivotTables/PivotCharts and slicers must be built interactively in Excel (Insert &gt; PivotTable / Insert &gt; Slicer), as these objects cannot be generated by script. The tables above are formula-driven equivalents (SUMIFS / SUMPRODUCT) that recalculate automatically if the Cleaned Data changes, and were used as the data source for the charts and the interactive filter on the Dashboard sheet.</t>
  </si>
  <si>
    <t xml:space="preserve">GREENMART SALES DASHBOARD</t>
  </si>
  <si>
    <t xml:space="preserve">TOTAL SALES</t>
  </si>
  <si>
    <t xml:space="preserve">TOTAL TRANSACTIONS</t>
  </si>
  <si>
    <t xml:space="preserve">TOTAL QUANTITY</t>
  </si>
  <si>
    <t xml:space="preserve">AVG TRANSACTION VALUE</t>
  </si>
  <si>
    <t xml:space="preserve">INTERACTIVE FILTER</t>
  </si>
  <si>
    <t xml:space="preserve">Branch:</t>
  </si>
  <si>
    <t xml:space="preserve">All</t>
  </si>
  <si>
    <t xml:space="preserve">Category:</t>
  </si>
  <si>
    <t xml:space="preserve">Month:</t>
  </si>
  <si>
    <t xml:space="preserve">FILTERED RESULTS</t>
  </si>
  <si>
    <t xml:space="preserve">Filtered Sales</t>
  </si>
  <si>
    <t xml:space="preserve">Filtered Transactions</t>
  </si>
  <si>
    <t xml:space="preserve">Filtered Quantity</t>
  </si>
  <si>
    <t xml:space="preserve">Use the Branch / Category / Month dropdowns above (yellow cells) to filter the results panel instantly - leave a dropdown on "All" to include every value for that field. This is a live, formula-driven filter. For full native Excel PivotTable slicers, click a table on the "4. PivotTables" sheet, then Insert &gt; Slicer, and choose Branch, Category, Product and Month.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</si>
</sst>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.00"/>
    <numFmt numFmtId="167" formatCode="General"/>
    <numFmt numFmtId="168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8"/>
      <color rgb="FF2E7D32"/>
      <name val="Arial"/>
      <family val="0"/>
      <charset val="1"/>
    </font>
    <font>
      <b val="true"/>
      <sz val="12"/>
      <color rgb="FF2E7D32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6"/>
      <color rgb="FF1B5E2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7D32"/>
        <bgColor rgb="FF1B5E20"/>
      </patternFill>
    </fill>
    <fill>
      <patternFill patternType="solid">
        <fgColor rgb="FFE8F5E9"/>
        <bgColor rgb="FFFFFFFF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E7D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9C4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'4. PivotTables'!B4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PivotTables'!$A$5:$A$8</c:f>
              <c:strCache>
                <c:ptCount val="4"/>
                <c:pt idx="0">
                  <c:v>Beverages</c:v>
                </c:pt>
                <c:pt idx="1">
                  <c:v>Groceries</c:v>
                </c:pt>
                <c:pt idx="2">
                  <c:v>Household</c:v>
                </c:pt>
                <c:pt idx="3">
                  <c:v>Personal Care</c:v>
                </c:pt>
              </c:strCache>
            </c:strRef>
          </c:cat>
          <c:val>
            <c:numRef>
              <c:f>'4. PivotTables'!$B$5:$B$8</c:f>
              <c:numCache>
                <c:formatCode>General</c:formatCode>
                <c:ptCount val="4"/>
                <c:pt idx="0">
                  <c:v>814</c:v>
                </c:pt>
                <c:pt idx="1">
                  <c:v>1521</c:v>
                </c:pt>
                <c:pt idx="2">
                  <c:v>1501.5</c:v>
                </c:pt>
                <c:pt idx="3">
                  <c:v>1446</c:v>
                </c:pt>
              </c:numCache>
            </c:numRef>
          </c:val>
        </c:ser>
        <c:gapWidth val="150"/>
        <c:overlap val="0"/>
        <c:axId val="75858536"/>
        <c:axId val="54326129"/>
      </c:barChart>
      <c:catAx>
        <c:axId val="75858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326129"/>
        <c:crosses val="autoZero"/>
        <c:auto val="1"/>
        <c:lblAlgn val="ctr"/>
        <c:lblOffset val="100"/>
        <c:noMultiLvlLbl val="0"/>
      </c:catAx>
      <c:valAx>
        <c:axId val="543261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(RM)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585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'4. PivotTables'!B12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PivotTables'!$A$13:$A$17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'4. PivotTables'!$B$13:$B$17</c:f>
              <c:numCache>
                <c:formatCode>General</c:formatCode>
                <c:ptCount val="5"/>
                <c:pt idx="0">
                  <c:v>1757</c:v>
                </c:pt>
                <c:pt idx="1">
                  <c:v>812</c:v>
                </c:pt>
                <c:pt idx="2">
                  <c:v>1063.5</c:v>
                </c:pt>
                <c:pt idx="3">
                  <c:v>674.5</c:v>
                </c:pt>
                <c:pt idx="4">
                  <c:v>975.5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666217"/>
        <c:axId val="71066382"/>
      </c:lineChart>
      <c:catAx>
        <c:axId val="276662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66382"/>
        <c:crosses val="autoZero"/>
        <c:auto val="1"/>
        <c:lblAlgn val="ctr"/>
        <c:lblOffset val="100"/>
        <c:noMultiLvlLbl val="0"/>
      </c:catAx>
      <c:valAx>
        <c:axId val="710663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(RM)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662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Branch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'4. PivotTables'!B21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PivotTables'!$A$22:$A$25</c:f>
              <c:strCache>
                <c:ptCount val="4"/>
                <c:pt idx="0">
                  <c:v>Kajang</c:v>
                </c:pt>
                <c:pt idx="1">
                  <c:v>Bangi</c:v>
                </c:pt>
                <c:pt idx="2">
                  <c:v>Shah Alam</c:v>
                </c:pt>
                <c:pt idx="3">
                  <c:v>Putrajaya</c:v>
                </c:pt>
              </c:strCache>
            </c:strRef>
          </c:cat>
          <c:val>
            <c:numRef>
              <c:f>'4. PivotTables'!$B$22:$B$25</c:f>
              <c:numCache>
                <c:formatCode>General</c:formatCode>
                <c:ptCount val="4"/>
                <c:pt idx="0">
                  <c:v>1600</c:v>
                </c:pt>
                <c:pt idx="1">
                  <c:v>1547</c:v>
                </c:pt>
                <c:pt idx="2">
                  <c:v>892.5</c:v>
                </c:pt>
                <c:pt idx="3">
                  <c:v>1243</c:v>
                </c:pt>
              </c:numCache>
            </c:numRef>
          </c:val>
        </c:ser>
        <c:gapWidth val="150"/>
        <c:overlap val="0"/>
        <c:axId val="53114254"/>
        <c:axId val="41607976"/>
      </c:barChart>
      <c:catAx>
        <c:axId val="531142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607976"/>
        <c:crosses val="autoZero"/>
        <c:auto val="1"/>
        <c:lblAlgn val="ctr"/>
        <c:lblOffset val="100"/>
        <c:noMultiLvlLbl val="0"/>
      </c:catAx>
      <c:valAx>
        <c:axId val="416079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(RM)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142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4 Products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'4. PivotTables'!C29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PivotTables'!$B$30:$B$33</c:f>
              <c:strCache>
                <c:ptCount val="4"/>
                <c:pt idx="0">
                  <c:v>Detergent</c:v>
                </c:pt>
                <c:pt idx="1">
                  <c:v>Cooking Oil</c:v>
                </c:pt>
                <c:pt idx="2">
                  <c:v>Shampoo</c:v>
                </c:pt>
                <c:pt idx="3">
                  <c:v>Body Lotion</c:v>
                </c:pt>
              </c:strCache>
            </c:strRef>
          </c:cat>
          <c:val>
            <c:numRef>
              <c:f>'4. PivotTables'!$C$30:$C$33</c:f>
              <c:numCache>
                <c:formatCode>General</c:formatCode>
                <c:ptCount val="4"/>
                <c:pt idx="0">
                  <c:v>720</c:v>
                </c:pt>
                <c:pt idx="1">
                  <c:v>672</c:v>
                </c:pt>
                <c:pt idx="2">
                  <c:v>640</c:v>
                </c:pt>
                <c:pt idx="3">
                  <c:v>540</c:v>
                </c:pt>
              </c:numCache>
            </c:numRef>
          </c:val>
        </c:ser>
        <c:gapWidth val="150"/>
        <c:overlap val="0"/>
        <c:axId val="53384361"/>
        <c:axId val="87318007"/>
      </c:barChart>
      <c:catAx>
        <c:axId val="533843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18007"/>
        <c:crosses val="autoZero"/>
        <c:auto val="1"/>
        <c:lblAlgn val="ctr"/>
        <c:lblOffset val="100"/>
        <c:noMultiLvlLbl val="0"/>
      </c:catAx>
      <c:valAx>
        <c:axId val="873180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(RM)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843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4</xdr:col>
      <xdr:colOff>654480</xdr:colOff>
      <xdr:row>19</xdr:row>
      <xdr:rowOff>43200</xdr:rowOff>
    </xdr:to>
    <xdr:graphicFrame>
      <xdr:nvGraphicFramePr>
        <xdr:cNvPr id="0" name="Chart 1"/>
        <xdr:cNvGraphicFramePr/>
      </xdr:nvGraphicFramePr>
      <xdr:xfrm>
        <a:off x="0" y="144792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6</xdr:row>
      <xdr:rowOff>0</xdr:rowOff>
    </xdr:from>
    <xdr:to>
      <xdr:col>10</xdr:col>
      <xdr:colOff>347400</xdr:colOff>
      <xdr:row>19</xdr:row>
      <xdr:rowOff>43200</xdr:rowOff>
    </xdr:to>
    <xdr:graphicFrame>
      <xdr:nvGraphicFramePr>
        <xdr:cNvPr id="1" name="Chart 2"/>
        <xdr:cNvGraphicFramePr/>
      </xdr:nvGraphicFramePr>
      <xdr:xfrm>
        <a:off x="4581360" y="144792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4</xdr:col>
      <xdr:colOff>654480</xdr:colOff>
      <xdr:row>34</xdr:row>
      <xdr:rowOff>43200</xdr:rowOff>
    </xdr:to>
    <xdr:graphicFrame>
      <xdr:nvGraphicFramePr>
        <xdr:cNvPr id="2" name="Chart 3"/>
        <xdr:cNvGraphicFramePr/>
      </xdr:nvGraphicFramePr>
      <xdr:xfrm>
        <a:off x="0" y="43052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10</xdr:col>
      <xdr:colOff>347400</xdr:colOff>
      <xdr:row>34</xdr:row>
      <xdr:rowOff>43200</xdr:rowOff>
    </xdr:to>
    <xdr:graphicFrame>
      <xdr:nvGraphicFramePr>
        <xdr:cNvPr id="3" name="Chart 4"/>
        <xdr:cNvGraphicFramePr/>
      </xdr:nvGraphicFramePr>
      <xdr:xfrm>
        <a:off x="4581360" y="43052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eanedSales" displayName="CleanedSales" ref="A1:G66" headerRowCount="1" totalsRowCount="0" totalsRowShown="0">
  <autoFilter ref="A1:G66"/>
  <tableColumns count="7">
    <tableColumn id="1" name="Transaction_ID"/>
    <tableColumn id="2" name="Date"/>
    <tableColumn id="3" name="Product"/>
    <tableColumn id="4" name="Category"/>
    <tableColumn id="5" name="Branch"/>
    <tableColumn id="6" name="Quantity"/>
    <tableColumn id="7" name="Sales"/>
  </tableColumns>
</table>
</file>

<file path=xl/tables/table2.xml><?xml version="1.0" encoding="utf-8"?>
<table xmlns="http://schemas.openxmlformats.org/spreadsheetml/2006/main" id="2" name="GreenMartSales" displayName="GreenMartSales" ref="A1:G66" headerRowCount="1" totalsRowCount="0" totalsRowShown="0">
  <autoFilter ref="A1:G66"/>
  <tableColumns count="7">
    <tableColumn id="1" name="Transaction_ID"/>
    <tableColumn id="2" name="Date"/>
    <tableColumn id="3" name="Product"/>
    <tableColumn id="4" name="Category"/>
    <tableColumn id="5" name="Branch"/>
    <tableColumn id="6" name="Quantity"/>
    <tableColumn id="7" name="Sal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n">
        <v>46029</v>
      </c>
      <c r="C2" s="2" t="s">
        <v>8</v>
      </c>
      <c r="D2" s="2" t="s">
        <v>9</v>
      </c>
      <c r="E2" s="2" t="s">
        <v>10</v>
      </c>
      <c r="F2" s="2" t="n">
        <v>9</v>
      </c>
      <c r="G2" s="4" t="n">
        <v>144</v>
      </c>
    </row>
    <row r="3" customFormat="false" ht="15" hidden="false" customHeight="false" outlineLevel="0" collapsed="false">
      <c r="A3" s="2" t="s">
        <v>11</v>
      </c>
      <c r="B3" s="3" t="n">
        <v>46033</v>
      </c>
      <c r="C3" s="2" t="s">
        <v>12</v>
      </c>
      <c r="D3" s="2" t="s">
        <v>13</v>
      </c>
      <c r="E3" s="2" t="s">
        <v>14</v>
      </c>
      <c r="F3" s="2" t="n">
        <v>8</v>
      </c>
      <c r="G3" s="4" t="n">
        <v>48</v>
      </c>
    </row>
    <row r="4" customFormat="false" ht="15" hidden="false" customHeight="false" outlineLevel="0" collapsed="false">
      <c r="A4" s="2" t="s">
        <v>15</v>
      </c>
      <c r="B4" s="3" t="n">
        <v>46034</v>
      </c>
      <c r="C4" s="2" t="s">
        <v>16</v>
      </c>
      <c r="D4" s="2" t="s">
        <v>17</v>
      </c>
      <c r="E4" s="2" t="s">
        <v>14</v>
      </c>
      <c r="F4" s="2" t="n">
        <v>9</v>
      </c>
      <c r="G4" s="4" t="n">
        <v>162</v>
      </c>
    </row>
    <row r="5" customFormat="false" ht="15" hidden="false" customHeight="false" outlineLevel="0" collapsed="false">
      <c r="A5" s="2" t="s">
        <v>18</v>
      </c>
      <c r="B5" s="3" t="n">
        <v>46037</v>
      </c>
      <c r="C5" s="2" t="s">
        <v>19</v>
      </c>
      <c r="D5" s="2" t="s">
        <v>17</v>
      </c>
      <c r="E5" s="2" t="s">
        <v>20</v>
      </c>
      <c r="F5" s="2" t="n">
        <v>5</v>
      </c>
      <c r="G5" s="4" t="n">
        <v>32.5</v>
      </c>
    </row>
    <row r="6" customFormat="false" ht="15" hidden="false" customHeight="false" outlineLevel="0" collapsed="false">
      <c r="A6" s="2" t="s">
        <v>21</v>
      </c>
      <c r="B6" s="3" t="n">
        <v>46039</v>
      </c>
      <c r="C6" s="2" t="s">
        <v>22</v>
      </c>
      <c r="D6" s="2" t="s">
        <v>9</v>
      </c>
      <c r="E6" s="2" t="s">
        <v>10</v>
      </c>
      <c r="F6" s="2" t="n">
        <v>9</v>
      </c>
      <c r="G6" s="4" t="n">
        <v>45</v>
      </c>
    </row>
    <row r="7" customFormat="false" ht="15" hidden="false" customHeight="false" outlineLevel="0" collapsed="false">
      <c r="A7" s="2" t="s">
        <v>23</v>
      </c>
      <c r="B7" s="3" t="n">
        <v>46042</v>
      </c>
      <c r="C7" s="2" t="s">
        <v>12</v>
      </c>
      <c r="D7" s="2" t="s">
        <v>13</v>
      </c>
      <c r="E7" s="2" t="s">
        <v>10</v>
      </c>
      <c r="F7" s="2" t="n">
        <v>7</v>
      </c>
      <c r="G7" s="4" t="n">
        <v>42</v>
      </c>
    </row>
    <row r="8" customFormat="false" ht="15" hidden="false" customHeight="false" outlineLevel="0" collapsed="false">
      <c r="A8" s="2" t="s">
        <v>24</v>
      </c>
      <c r="B8" s="3" t="n">
        <v>46043</v>
      </c>
      <c r="C8" s="2" t="s">
        <v>25</v>
      </c>
      <c r="D8" s="2" t="s">
        <v>9</v>
      </c>
      <c r="E8" s="2" t="s">
        <v>26</v>
      </c>
      <c r="F8" s="2" t="n">
        <v>9</v>
      </c>
      <c r="G8" s="4" t="n">
        <v>180</v>
      </c>
    </row>
    <row r="9" customFormat="false" ht="15" hidden="false" customHeight="false" outlineLevel="0" collapsed="false">
      <c r="A9" s="2" t="s">
        <v>27</v>
      </c>
      <c r="B9" s="3" t="n">
        <v>46043</v>
      </c>
      <c r="C9" s="2" t="s">
        <v>28</v>
      </c>
      <c r="D9" s="2" t="s">
        <v>29</v>
      </c>
      <c r="E9" s="2" t="s">
        <v>14</v>
      </c>
      <c r="F9" s="2" t="n">
        <v>10</v>
      </c>
      <c r="G9" s="4" t="n">
        <v>150</v>
      </c>
    </row>
    <row r="10" customFormat="false" ht="15" hidden="false" customHeight="false" outlineLevel="0" collapsed="false">
      <c r="A10" s="2" t="s">
        <v>30</v>
      </c>
      <c r="B10" s="3" t="n">
        <v>46044</v>
      </c>
      <c r="C10" s="2" t="s">
        <v>16</v>
      </c>
      <c r="D10" s="2" t="s">
        <v>17</v>
      </c>
      <c r="E10" s="2" t="s">
        <v>20</v>
      </c>
      <c r="F10" s="2" t="n">
        <v>2</v>
      </c>
      <c r="G10" s="4" t="n">
        <v>36</v>
      </c>
    </row>
    <row r="11" customFormat="false" ht="15" hidden="false" customHeight="false" outlineLevel="0" collapsed="false">
      <c r="A11" s="2" t="s">
        <v>31</v>
      </c>
      <c r="B11" s="3" t="n">
        <v>46044</v>
      </c>
      <c r="C11" s="2" t="s">
        <v>32</v>
      </c>
      <c r="D11" s="2" t="s">
        <v>17</v>
      </c>
      <c r="E11" s="2" t="s">
        <v>10</v>
      </c>
      <c r="F11" s="2" t="n">
        <v>9</v>
      </c>
      <c r="G11" s="4" t="n">
        <v>31.5</v>
      </c>
    </row>
    <row r="12" customFormat="false" ht="15" hidden="false" customHeight="false" outlineLevel="0" collapsed="false">
      <c r="A12" s="2" t="s">
        <v>33</v>
      </c>
      <c r="B12" s="3" t="n">
        <v>46046</v>
      </c>
      <c r="C12" s="2" t="s">
        <v>8</v>
      </c>
      <c r="D12" s="2" t="s">
        <v>9</v>
      </c>
      <c r="E12" s="2" t="s">
        <v>10</v>
      </c>
      <c r="F12" s="2" t="n">
        <v>11</v>
      </c>
      <c r="G12" s="4" t="n">
        <v>176</v>
      </c>
    </row>
    <row r="13" customFormat="false" ht="15" hidden="false" customHeight="false" outlineLevel="0" collapsed="false">
      <c r="A13" s="2" t="s">
        <v>34</v>
      </c>
      <c r="B13" s="3" t="n">
        <v>46047</v>
      </c>
      <c r="C13" s="2" t="s">
        <v>35</v>
      </c>
      <c r="D13" s="2" t="s">
        <v>29</v>
      </c>
      <c r="E13" s="2" t="s">
        <v>14</v>
      </c>
      <c r="F13" s="2" t="n">
        <v>12</v>
      </c>
      <c r="G13" s="4" t="n">
        <v>90</v>
      </c>
    </row>
    <row r="14" customFormat="false" ht="15" hidden="false" customHeight="false" outlineLevel="0" collapsed="false">
      <c r="A14" s="2" t="s">
        <v>36</v>
      </c>
      <c r="B14" s="3" t="n">
        <v>46047</v>
      </c>
      <c r="C14" s="2" t="s">
        <v>37</v>
      </c>
      <c r="D14" s="2" t="s">
        <v>13</v>
      </c>
      <c r="E14" s="2" t="s">
        <v>10</v>
      </c>
      <c r="F14" s="2" t="n">
        <v>11</v>
      </c>
      <c r="G14" s="4" t="n">
        <v>495</v>
      </c>
    </row>
    <row r="15" customFormat="false" ht="15" hidden="false" customHeight="false" outlineLevel="0" collapsed="false">
      <c r="A15" s="2" t="s">
        <v>38</v>
      </c>
      <c r="B15" s="3" t="n">
        <v>46050</v>
      </c>
      <c r="C15" s="2" t="s">
        <v>8</v>
      </c>
      <c r="D15" s="2" t="s">
        <v>9</v>
      </c>
      <c r="E15" s="2" t="s">
        <v>20</v>
      </c>
      <c r="F15" s="2" t="n">
        <v>6</v>
      </c>
      <c r="G15" s="4" t="n">
        <v>96</v>
      </c>
    </row>
    <row r="16" customFormat="false" ht="15" hidden="false" customHeight="false" outlineLevel="0" collapsed="false">
      <c r="A16" s="2" t="s">
        <v>39</v>
      </c>
      <c r="B16" s="3" t="n">
        <v>46052</v>
      </c>
      <c r="C16" s="2" t="s">
        <v>19</v>
      </c>
      <c r="D16" s="2" t="s">
        <v>17</v>
      </c>
      <c r="E16" s="2" t="s">
        <v>20</v>
      </c>
      <c r="F16" s="2" t="n">
        <v>2</v>
      </c>
      <c r="G16" s="4" t="n">
        <v>13</v>
      </c>
    </row>
    <row r="17" customFormat="false" ht="15" hidden="false" customHeight="false" outlineLevel="0" collapsed="false">
      <c r="A17" s="2" t="s">
        <v>40</v>
      </c>
      <c r="B17" s="3" t="n">
        <v>46053</v>
      </c>
      <c r="C17" s="2" t="s">
        <v>41</v>
      </c>
      <c r="D17" s="2" t="s">
        <v>13</v>
      </c>
      <c r="E17" s="2" t="s">
        <v>10</v>
      </c>
      <c r="F17" s="2" t="n">
        <v>2</v>
      </c>
      <c r="G17" s="4" t="n">
        <v>16</v>
      </c>
    </row>
    <row r="18" customFormat="false" ht="15" hidden="false" customHeight="false" outlineLevel="0" collapsed="false">
      <c r="A18" s="2" t="s">
        <v>42</v>
      </c>
      <c r="B18" s="3" t="n">
        <v>46054</v>
      </c>
      <c r="C18" s="2" t="s">
        <v>43</v>
      </c>
      <c r="D18" s="2" t="s">
        <v>29</v>
      </c>
      <c r="E18" s="2" t="s">
        <v>14</v>
      </c>
      <c r="F18" s="2" t="n">
        <v>6</v>
      </c>
      <c r="G18" s="4" t="n">
        <v>54</v>
      </c>
    </row>
    <row r="19" customFormat="false" ht="15" hidden="false" customHeight="false" outlineLevel="0" collapsed="false">
      <c r="A19" s="2" t="s">
        <v>44</v>
      </c>
      <c r="B19" s="3" t="n">
        <v>46055</v>
      </c>
      <c r="C19" s="2" t="s">
        <v>32</v>
      </c>
      <c r="D19" s="2" t="s">
        <v>17</v>
      </c>
      <c r="E19" s="2" t="s">
        <v>14</v>
      </c>
      <c r="F19" s="2" t="n">
        <v>4</v>
      </c>
      <c r="G19" s="4" t="n">
        <v>14</v>
      </c>
    </row>
    <row r="20" customFormat="false" ht="15" hidden="false" customHeight="false" outlineLevel="0" collapsed="false">
      <c r="A20" s="2" t="s">
        <v>45</v>
      </c>
      <c r="B20" s="3" t="n">
        <v>46055</v>
      </c>
      <c r="C20" s="2" t="s">
        <v>46</v>
      </c>
      <c r="D20" s="2" t="s">
        <v>13</v>
      </c>
      <c r="E20" s="2" t="s">
        <v>26</v>
      </c>
      <c r="F20" s="2" t="n">
        <v>10</v>
      </c>
      <c r="G20" s="4" t="n">
        <v>280</v>
      </c>
    </row>
    <row r="21" customFormat="false" ht="15" hidden="false" customHeight="false" outlineLevel="0" collapsed="false">
      <c r="A21" s="2" t="s">
        <v>47</v>
      </c>
      <c r="B21" s="3" t="n">
        <v>46055</v>
      </c>
      <c r="C21" s="2" t="s">
        <v>35</v>
      </c>
      <c r="D21" s="2" t="s">
        <v>29</v>
      </c>
      <c r="E21" s="2" t="s">
        <v>14</v>
      </c>
      <c r="F21" s="2" t="n">
        <v>1</v>
      </c>
      <c r="G21" s="4" t="n">
        <v>7.5</v>
      </c>
    </row>
    <row r="22" customFormat="false" ht="15" hidden="false" customHeight="false" outlineLevel="0" collapsed="false">
      <c r="A22" s="2" t="s">
        <v>48</v>
      </c>
      <c r="B22" s="3" t="n">
        <v>46060</v>
      </c>
      <c r="C22" s="2" t="s">
        <v>22</v>
      </c>
      <c r="D22" s="2" t="s">
        <v>9</v>
      </c>
      <c r="E22" s="2" t="s">
        <v>26</v>
      </c>
      <c r="F22" s="2" t="n">
        <v>7</v>
      </c>
      <c r="G22" s="4" t="n">
        <v>35</v>
      </c>
    </row>
    <row r="23" customFormat="false" ht="15" hidden="false" customHeight="false" outlineLevel="0" collapsed="false">
      <c r="A23" s="2" t="s">
        <v>49</v>
      </c>
      <c r="B23" s="3" t="n">
        <v>46060</v>
      </c>
      <c r="C23" s="2" t="s">
        <v>50</v>
      </c>
      <c r="D23" s="2" t="s">
        <v>29</v>
      </c>
      <c r="E23" s="2" t="s">
        <v>20</v>
      </c>
      <c r="F23" s="2" t="n">
        <v>2</v>
      </c>
      <c r="G23" s="4" t="n">
        <v>24</v>
      </c>
    </row>
    <row r="24" customFormat="false" ht="15" hidden="false" customHeight="false" outlineLevel="0" collapsed="false">
      <c r="A24" s="2" t="s">
        <v>51</v>
      </c>
      <c r="B24" s="3" t="n">
        <v>46062</v>
      </c>
      <c r="C24" s="2" t="s">
        <v>52</v>
      </c>
      <c r="D24" s="2" t="s">
        <v>17</v>
      </c>
      <c r="E24" s="2" t="s">
        <v>26</v>
      </c>
      <c r="F24" s="2" t="n">
        <v>1</v>
      </c>
      <c r="G24" s="4" t="n">
        <v>4</v>
      </c>
    </row>
    <row r="25" customFormat="false" ht="15" hidden="false" customHeight="false" outlineLevel="0" collapsed="false">
      <c r="A25" s="2" t="s">
        <v>53</v>
      </c>
      <c r="B25" s="3" t="n">
        <v>46068</v>
      </c>
      <c r="C25" s="2" t="s">
        <v>32</v>
      </c>
      <c r="D25" s="2" t="s">
        <v>17</v>
      </c>
      <c r="E25" s="2" t="s">
        <v>26</v>
      </c>
      <c r="F25" s="2" t="n">
        <v>1</v>
      </c>
      <c r="G25" s="4" t="n">
        <v>3.5</v>
      </c>
    </row>
    <row r="26" customFormat="false" ht="15" hidden="false" customHeight="false" outlineLevel="0" collapsed="false">
      <c r="A26" s="2" t="s">
        <v>54</v>
      </c>
      <c r="B26" s="3" t="n">
        <v>46069</v>
      </c>
      <c r="C26" s="2" t="s">
        <v>50</v>
      </c>
      <c r="D26" s="2" t="s">
        <v>29</v>
      </c>
      <c r="E26" s="2" t="s">
        <v>14</v>
      </c>
      <c r="F26" s="2" t="n">
        <v>9</v>
      </c>
      <c r="G26" s="4" t="n">
        <v>108</v>
      </c>
    </row>
    <row r="27" customFormat="false" ht="15" hidden="false" customHeight="false" outlineLevel="0" collapsed="false">
      <c r="A27" s="2" t="s">
        <v>55</v>
      </c>
      <c r="B27" s="3" t="n">
        <v>46075</v>
      </c>
      <c r="C27" s="2" t="s">
        <v>52</v>
      </c>
      <c r="D27" s="2" t="s">
        <v>17</v>
      </c>
      <c r="E27" s="2" t="s">
        <v>26</v>
      </c>
      <c r="F27" s="2" t="n">
        <v>6</v>
      </c>
      <c r="G27" s="4" t="n">
        <v>24</v>
      </c>
    </row>
    <row r="28" customFormat="false" ht="15" hidden="false" customHeight="false" outlineLevel="0" collapsed="false">
      <c r="A28" s="2" t="s">
        <v>56</v>
      </c>
      <c r="B28" s="3" t="n">
        <v>46078</v>
      </c>
      <c r="C28" s="2" t="s">
        <v>50</v>
      </c>
      <c r="D28" s="2" t="s">
        <v>29</v>
      </c>
      <c r="E28" s="2" t="s">
        <v>20</v>
      </c>
      <c r="F28" s="2" t="n">
        <v>8</v>
      </c>
      <c r="G28" s="4" t="n">
        <v>96</v>
      </c>
    </row>
    <row r="29" customFormat="false" ht="15" hidden="false" customHeight="false" outlineLevel="0" collapsed="false">
      <c r="A29" s="2" t="s">
        <v>57</v>
      </c>
      <c r="B29" s="3" t="n">
        <v>46079</v>
      </c>
      <c r="C29" s="2" t="s">
        <v>43</v>
      </c>
      <c r="D29" s="2" t="s">
        <v>29</v>
      </c>
      <c r="E29" s="2" t="s">
        <v>20</v>
      </c>
      <c r="F29" s="2" t="n">
        <v>7</v>
      </c>
      <c r="G29" s="4" t="n">
        <v>63</v>
      </c>
    </row>
    <row r="30" customFormat="false" ht="15" hidden="false" customHeight="false" outlineLevel="0" collapsed="false">
      <c r="A30" s="2" t="s">
        <v>58</v>
      </c>
      <c r="B30" s="3" t="n">
        <v>46080</v>
      </c>
      <c r="C30" s="2" t="s">
        <v>43</v>
      </c>
      <c r="D30" s="2" t="s">
        <v>29</v>
      </c>
      <c r="E30" s="2" t="s">
        <v>20</v>
      </c>
      <c r="F30" s="2" t="n">
        <v>9</v>
      </c>
      <c r="G30" s="4" t="n">
        <v>81</v>
      </c>
    </row>
    <row r="31" customFormat="false" ht="15" hidden="false" customHeight="false" outlineLevel="0" collapsed="false">
      <c r="A31" s="2" t="s">
        <v>59</v>
      </c>
      <c r="B31" s="3" t="n">
        <v>46081</v>
      </c>
      <c r="C31" s="2" t="s">
        <v>43</v>
      </c>
      <c r="D31" s="2" t="s">
        <v>29</v>
      </c>
      <c r="E31" s="2" t="s">
        <v>20</v>
      </c>
      <c r="F31" s="2" t="n">
        <v>2</v>
      </c>
      <c r="G31" s="4" t="n">
        <v>18</v>
      </c>
    </row>
    <row r="32" customFormat="false" ht="15" hidden="false" customHeight="false" outlineLevel="0" collapsed="false">
      <c r="A32" s="2" t="s">
        <v>60</v>
      </c>
      <c r="B32" s="3" t="n">
        <v>46082</v>
      </c>
      <c r="C32" s="2" t="s">
        <v>52</v>
      </c>
      <c r="D32" s="2" t="s">
        <v>17</v>
      </c>
      <c r="E32" s="2" t="s">
        <v>20</v>
      </c>
      <c r="F32" s="2" t="n">
        <v>1</v>
      </c>
      <c r="G32" s="4" t="n">
        <v>4</v>
      </c>
    </row>
    <row r="33" customFormat="false" ht="15" hidden="false" customHeight="false" outlineLevel="0" collapsed="false">
      <c r="A33" s="2" t="s">
        <v>61</v>
      </c>
      <c r="B33" s="3" t="n">
        <v>46083</v>
      </c>
      <c r="C33" s="2" t="s">
        <v>12</v>
      </c>
      <c r="D33" s="2" t="s">
        <v>13</v>
      </c>
      <c r="E33" s="2" t="s">
        <v>10</v>
      </c>
      <c r="F33" s="2" t="n">
        <v>1</v>
      </c>
      <c r="G33" s="4" t="n">
        <v>6</v>
      </c>
    </row>
    <row r="34" customFormat="false" ht="15" hidden="false" customHeight="false" outlineLevel="0" collapsed="false">
      <c r="A34" s="2" t="s">
        <v>62</v>
      </c>
      <c r="B34" s="3" t="n">
        <v>46083</v>
      </c>
      <c r="C34" s="2" t="s">
        <v>52</v>
      </c>
      <c r="D34" s="2" t="s">
        <v>17</v>
      </c>
      <c r="E34" s="2" t="s">
        <v>10</v>
      </c>
      <c r="F34" s="2" t="n">
        <v>4</v>
      </c>
      <c r="G34" s="4" t="n">
        <v>16</v>
      </c>
    </row>
    <row r="35" customFormat="false" ht="15" hidden="false" customHeight="false" outlineLevel="0" collapsed="false">
      <c r="A35" s="2" t="s">
        <v>63</v>
      </c>
      <c r="B35" s="3" t="n">
        <v>46086</v>
      </c>
      <c r="C35" s="2" t="s">
        <v>19</v>
      </c>
      <c r="D35" s="2" t="s">
        <v>17</v>
      </c>
      <c r="E35" s="2" t="s">
        <v>20</v>
      </c>
      <c r="F35" s="2" t="n">
        <v>8</v>
      </c>
      <c r="G35" s="4" t="n">
        <v>52</v>
      </c>
    </row>
    <row r="36" customFormat="false" ht="15" hidden="false" customHeight="false" outlineLevel="0" collapsed="false">
      <c r="A36" s="2" t="s">
        <v>64</v>
      </c>
      <c r="B36" s="3" t="n">
        <v>46087</v>
      </c>
      <c r="C36" s="2" t="s">
        <v>50</v>
      </c>
      <c r="D36" s="2" t="s">
        <v>29</v>
      </c>
      <c r="E36" s="2" t="s">
        <v>14</v>
      </c>
      <c r="F36" s="2" t="n">
        <v>9</v>
      </c>
      <c r="G36" s="4" t="n">
        <v>108</v>
      </c>
    </row>
    <row r="37" customFormat="false" ht="15" hidden="false" customHeight="false" outlineLevel="0" collapsed="false">
      <c r="A37" s="2" t="s">
        <v>65</v>
      </c>
      <c r="B37" s="3" t="n">
        <v>46087</v>
      </c>
      <c r="C37" s="2" t="s">
        <v>8</v>
      </c>
      <c r="D37" s="2" t="s">
        <v>9</v>
      </c>
      <c r="E37" s="2" t="s">
        <v>14</v>
      </c>
      <c r="F37" s="2" t="n">
        <v>10</v>
      </c>
      <c r="G37" s="4" t="n">
        <v>160</v>
      </c>
    </row>
    <row r="38" customFormat="false" ht="15" hidden="false" customHeight="false" outlineLevel="0" collapsed="false">
      <c r="A38" s="2" t="s">
        <v>66</v>
      </c>
      <c r="B38" s="3" t="n">
        <v>46088</v>
      </c>
      <c r="C38" s="2" t="s">
        <v>52</v>
      </c>
      <c r="D38" s="2" t="s">
        <v>17</v>
      </c>
      <c r="E38" s="2" t="s">
        <v>26</v>
      </c>
      <c r="F38" s="2" t="n">
        <v>2</v>
      </c>
      <c r="G38" s="4" t="n">
        <v>8</v>
      </c>
    </row>
    <row r="39" customFormat="false" ht="15" hidden="false" customHeight="false" outlineLevel="0" collapsed="false">
      <c r="A39" s="2" t="s">
        <v>67</v>
      </c>
      <c r="B39" s="3" t="n">
        <v>46089</v>
      </c>
      <c r="C39" s="2" t="s">
        <v>35</v>
      </c>
      <c r="D39" s="2" t="s">
        <v>29</v>
      </c>
      <c r="E39" s="2" t="s">
        <v>14</v>
      </c>
      <c r="F39" s="2" t="n">
        <v>8</v>
      </c>
      <c r="G39" s="4" t="n">
        <v>60</v>
      </c>
    </row>
    <row r="40" customFormat="false" ht="15" hidden="false" customHeight="false" outlineLevel="0" collapsed="false">
      <c r="A40" s="2" t="s">
        <v>68</v>
      </c>
      <c r="B40" s="3" t="n">
        <v>46090</v>
      </c>
      <c r="C40" s="2" t="s">
        <v>46</v>
      </c>
      <c r="D40" s="2" t="s">
        <v>13</v>
      </c>
      <c r="E40" s="2" t="s">
        <v>26</v>
      </c>
      <c r="F40" s="2" t="n">
        <v>3</v>
      </c>
      <c r="G40" s="4" t="n">
        <v>84</v>
      </c>
    </row>
    <row r="41" customFormat="false" ht="15" hidden="false" customHeight="false" outlineLevel="0" collapsed="false">
      <c r="A41" s="2" t="s">
        <v>69</v>
      </c>
      <c r="B41" s="3" t="n">
        <v>46091</v>
      </c>
      <c r="C41" s="2" t="s">
        <v>52</v>
      </c>
      <c r="D41" s="2" t="s">
        <v>17</v>
      </c>
      <c r="E41" s="2" t="s">
        <v>20</v>
      </c>
      <c r="F41" s="2" t="n">
        <v>11</v>
      </c>
      <c r="G41" s="4" t="n">
        <v>44</v>
      </c>
    </row>
    <row r="42" customFormat="false" ht="15" hidden="false" customHeight="false" outlineLevel="0" collapsed="false">
      <c r="A42" s="2" t="s">
        <v>70</v>
      </c>
      <c r="B42" s="3" t="n">
        <v>46094</v>
      </c>
      <c r="C42" s="2" t="s">
        <v>19</v>
      </c>
      <c r="D42" s="2" t="s">
        <v>17</v>
      </c>
      <c r="E42" s="2" t="s">
        <v>10</v>
      </c>
      <c r="F42" s="2" t="n">
        <v>7</v>
      </c>
      <c r="G42" s="4" t="n">
        <v>45.5</v>
      </c>
    </row>
    <row r="43" customFormat="false" ht="15" hidden="false" customHeight="false" outlineLevel="0" collapsed="false">
      <c r="A43" s="2" t="s">
        <v>71</v>
      </c>
      <c r="B43" s="3" t="n">
        <v>46094</v>
      </c>
      <c r="C43" s="2" t="s">
        <v>72</v>
      </c>
      <c r="D43" s="2" t="s">
        <v>9</v>
      </c>
      <c r="E43" s="2" t="s">
        <v>26</v>
      </c>
      <c r="F43" s="2" t="n">
        <v>12</v>
      </c>
      <c r="G43" s="4" t="n">
        <v>84</v>
      </c>
    </row>
    <row r="44" customFormat="false" ht="15" hidden="false" customHeight="false" outlineLevel="0" collapsed="false">
      <c r="A44" s="2" t="s">
        <v>73</v>
      </c>
      <c r="B44" s="3" t="n">
        <v>46095</v>
      </c>
      <c r="C44" s="2" t="s">
        <v>16</v>
      </c>
      <c r="D44" s="2" t="s">
        <v>17</v>
      </c>
      <c r="E44" s="2" t="s">
        <v>14</v>
      </c>
      <c r="F44" s="2" t="n">
        <v>3</v>
      </c>
      <c r="G44" s="4" t="n">
        <v>54</v>
      </c>
    </row>
    <row r="45" customFormat="false" ht="15" hidden="false" customHeight="false" outlineLevel="0" collapsed="false">
      <c r="A45" s="2" t="s">
        <v>74</v>
      </c>
      <c r="B45" s="3" t="n">
        <v>46098</v>
      </c>
      <c r="C45" s="2" t="s">
        <v>16</v>
      </c>
      <c r="D45" s="2" t="s">
        <v>17</v>
      </c>
      <c r="E45" s="2" t="s">
        <v>26</v>
      </c>
      <c r="F45" s="2" t="n">
        <v>6</v>
      </c>
      <c r="G45" s="4" t="n">
        <v>108</v>
      </c>
    </row>
    <row r="46" customFormat="false" ht="15" hidden="false" customHeight="false" outlineLevel="0" collapsed="false">
      <c r="A46" s="2" t="s">
        <v>75</v>
      </c>
      <c r="B46" s="3" t="n">
        <v>46098</v>
      </c>
      <c r="C46" s="2" t="s">
        <v>46</v>
      </c>
      <c r="D46" s="2" t="s">
        <v>13</v>
      </c>
      <c r="E46" s="2" t="s">
        <v>20</v>
      </c>
      <c r="F46" s="2" t="n">
        <v>2</v>
      </c>
      <c r="G46" s="4" t="n">
        <v>56</v>
      </c>
    </row>
    <row r="47" customFormat="false" ht="15" hidden="false" customHeight="false" outlineLevel="0" collapsed="false">
      <c r="A47" s="2" t="s">
        <v>76</v>
      </c>
      <c r="B47" s="3" t="n">
        <v>46107</v>
      </c>
      <c r="C47" s="2" t="s">
        <v>12</v>
      </c>
      <c r="D47" s="2" t="s">
        <v>13</v>
      </c>
      <c r="E47" s="2" t="s">
        <v>26</v>
      </c>
      <c r="F47" s="2" t="n">
        <v>11</v>
      </c>
      <c r="G47" s="4" t="n">
        <v>66</v>
      </c>
    </row>
    <row r="48" customFormat="false" ht="15" hidden="false" customHeight="false" outlineLevel="0" collapsed="false">
      <c r="A48" s="2" t="s">
        <v>77</v>
      </c>
      <c r="B48" s="3" t="n">
        <v>46110</v>
      </c>
      <c r="C48" s="2" t="s">
        <v>16</v>
      </c>
      <c r="D48" s="2" t="s">
        <v>17</v>
      </c>
      <c r="E48" s="2" t="s">
        <v>10</v>
      </c>
      <c r="F48" s="2" t="n">
        <v>6</v>
      </c>
      <c r="G48" s="4" t="n">
        <v>108</v>
      </c>
    </row>
    <row r="49" customFormat="false" ht="15" hidden="false" customHeight="false" outlineLevel="0" collapsed="false">
      <c r="A49" s="2" t="s">
        <v>78</v>
      </c>
      <c r="B49" s="3" t="n">
        <v>46114</v>
      </c>
      <c r="C49" s="2" t="s">
        <v>32</v>
      </c>
      <c r="D49" s="2" t="s">
        <v>17</v>
      </c>
      <c r="E49" s="2" t="s">
        <v>26</v>
      </c>
      <c r="F49" s="2" t="n">
        <v>3</v>
      </c>
      <c r="G49" s="4" t="n">
        <v>10.5</v>
      </c>
    </row>
    <row r="50" customFormat="false" ht="15" hidden="false" customHeight="false" outlineLevel="0" collapsed="false">
      <c r="A50" s="2" t="s">
        <v>79</v>
      </c>
      <c r="B50" s="3" t="n">
        <v>46120</v>
      </c>
      <c r="C50" s="2" t="s">
        <v>41</v>
      </c>
      <c r="D50" s="2" t="s">
        <v>13</v>
      </c>
      <c r="E50" s="2" t="s">
        <v>20</v>
      </c>
      <c r="F50" s="2" t="n">
        <v>4</v>
      </c>
      <c r="G50" s="4" t="n">
        <v>32</v>
      </c>
    </row>
    <row r="51" customFormat="false" ht="15" hidden="false" customHeight="false" outlineLevel="0" collapsed="false">
      <c r="A51" s="2" t="s">
        <v>80</v>
      </c>
      <c r="B51" s="3" t="n">
        <v>46129</v>
      </c>
      <c r="C51" s="2" t="s">
        <v>28</v>
      </c>
      <c r="D51" s="2" t="s">
        <v>29</v>
      </c>
      <c r="E51" s="2" t="s">
        <v>14</v>
      </c>
      <c r="F51" s="2" t="n">
        <v>10</v>
      </c>
      <c r="G51" s="4" t="n">
        <v>150</v>
      </c>
    </row>
    <row r="52" customFormat="false" ht="15" hidden="false" customHeight="false" outlineLevel="0" collapsed="false">
      <c r="A52" s="2" t="s">
        <v>81</v>
      </c>
      <c r="B52" s="3" t="n">
        <v>46131</v>
      </c>
      <c r="C52" s="2" t="s">
        <v>25</v>
      </c>
      <c r="D52" s="2" t="s">
        <v>9</v>
      </c>
      <c r="E52" s="2" t="s">
        <v>14</v>
      </c>
      <c r="F52" s="2" t="n">
        <v>7</v>
      </c>
      <c r="G52" s="4" t="n">
        <v>140</v>
      </c>
    </row>
    <row r="53" customFormat="false" ht="15" hidden="false" customHeight="false" outlineLevel="0" collapsed="false">
      <c r="A53" s="2" t="s">
        <v>82</v>
      </c>
      <c r="B53" s="3" t="n">
        <v>46135</v>
      </c>
      <c r="C53" s="2" t="s">
        <v>25</v>
      </c>
      <c r="D53" s="2" t="s">
        <v>9</v>
      </c>
      <c r="E53" s="2" t="s">
        <v>10</v>
      </c>
      <c r="F53" s="2" t="n">
        <v>11</v>
      </c>
      <c r="G53" s="4" t="n">
        <v>220</v>
      </c>
    </row>
    <row r="54" customFormat="false" ht="15" hidden="false" customHeight="false" outlineLevel="0" collapsed="false">
      <c r="A54" s="2" t="s">
        <v>83</v>
      </c>
      <c r="B54" s="3" t="n">
        <v>46135</v>
      </c>
      <c r="C54" s="2" t="s">
        <v>41</v>
      </c>
      <c r="D54" s="2" t="s">
        <v>13</v>
      </c>
      <c r="E54" s="2" t="s">
        <v>26</v>
      </c>
      <c r="F54" s="2" t="n">
        <v>4</v>
      </c>
      <c r="G54" s="4" t="n">
        <v>32</v>
      </c>
    </row>
    <row r="55" customFormat="false" ht="15" hidden="false" customHeight="false" outlineLevel="0" collapsed="false">
      <c r="A55" s="2" t="s">
        <v>84</v>
      </c>
      <c r="B55" s="3" t="n">
        <v>46135</v>
      </c>
      <c r="C55" s="2" t="s">
        <v>28</v>
      </c>
      <c r="D55" s="2" t="s">
        <v>29</v>
      </c>
      <c r="E55" s="2" t="s">
        <v>10</v>
      </c>
      <c r="F55" s="2" t="n">
        <v>6</v>
      </c>
      <c r="G55" s="4" t="n">
        <v>90</v>
      </c>
    </row>
    <row r="56" customFormat="false" ht="15" hidden="false" customHeight="false" outlineLevel="0" collapsed="false">
      <c r="A56" s="2" t="s">
        <v>85</v>
      </c>
      <c r="B56" s="3" t="n">
        <v>46143</v>
      </c>
      <c r="C56" s="2" t="s">
        <v>32</v>
      </c>
      <c r="D56" s="2" t="s">
        <v>17</v>
      </c>
      <c r="E56" s="2" t="s">
        <v>14</v>
      </c>
      <c r="F56" s="2" t="n">
        <v>9</v>
      </c>
      <c r="G56" s="4" t="n">
        <v>31.5</v>
      </c>
    </row>
    <row r="57" customFormat="false" ht="15" hidden="false" customHeight="false" outlineLevel="0" collapsed="false">
      <c r="A57" s="2" t="s">
        <v>86</v>
      </c>
      <c r="B57" s="3" t="n">
        <v>46144</v>
      </c>
      <c r="C57" s="2" t="s">
        <v>41</v>
      </c>
      <c r="D57" s="2" t="s">
        <v>13</v>
      </c>
      <c r="E57" s="2" t="s">
        <v>14</v>
      </c>
      <c r="F57" s="2" t="n">
        <v>4</v>
      </c>
      <c r="G57" s="4" t="n">
        <v>32</v>
      </c>
    </row>
    <row r="58" customFormat="false" ht="15" hidden="false" customHeight="false" outlineLevel="0" collapsed="false">
      <c r="A58" s="2" t="s">
        <v>87</v>
      </c>
      <c r="B58" s="3" t="n">
        <v>46145</v>
      </c>
      <c r="C58" s="2" t="s">
        <v>72</v>
      </c>
      <c r="D58" s="2" t="s">
        <v>9</v>
      </c>
      <c r="E58" s="2" t="s">
        <v>14</v>
      </c>
      <c r="F58" s="2" t="n">
        <v>11</v>
      </c>
      <c r="G58" s="4" t="n">
        <v>77</v>
      </c>
    </row>
    <row r="59" customFormat="false" ht="15" hidden="false" customHeight="false" outlineLevel="0" collapsed="false">
      <c r="A59" s="2" t="s">
        <v>88</v>
      </c>
      <c r="B59" s="3" t="n">
        <v>46152</v>
      </c>
      <c r="C59" s="2" t="s">
        <v>28</v>
      </c>
      <c r="D59" s="2" t="s">
        <v>29</v>
      </c>
      <c r="E59" s="2" t="s">
        <v>10</v>
      </c>
      <c r="F59" s="2" t="n">
        <v>11</v>
      </c>
      <c r="G59" s="4" t="n">
        <v>165</v>
      </c>
    </row>
    <row r="60" customFormat="false" ht="15" hidden="false" customHeight="false" outlineLevel="0" collapsed="false">
      <c r="A60" s="2" t="s">
        <v>89</v>
      </c>
      <c r="B60" s="3" t="n">
        <v>46159</v>
      </c>
      <c r="C60" s="2" t="s">
        <v>8</v>
      </c>
      <c r="D60" s="2" t="s">
        <v>9</v>
      </c>
      <c r="E60" s="2" t="s">
        <v>14</v>
      </c>
      <c r="F60" s="2" t="n">
        <v>4</v>
      </c>
      <c r="G60" s="4" t="n">
        <v>64</v>
      </c>
    </row>
    <row r="61" customFormat="false" ht="15" hidden="false" customHeight="false" outlineLevel="0" collapsed="false">
      <c r="A61" s="2" t="s">
        <v>90</v>
      </c>
      <c r="B61" s="3" t="n">
        <v>46163</v>
      </c>
      <c r="C61" s="2" t="s">
        <v>46</v>
      </c>
      <c r="D61" s="2" t="s">
        <v>13</v>
      </c>
      <c r="E61" s="2" t="s">
        <v>26</v>
      </c>
      <c r="F61" s="2" t="n">
        <v>9</v>
      </c>
      <c r="G61" s="4" t="n">
        <v>252</v>
      </c>
    </row>
    <row r="62" customFormat="false" ht="15" hidden="false" customHeight="false" outlineLevel="0" collapsed="false">
      <c r="A62" s="2" t="s">
        <v>91</v>
      </c>
      <c r="B62" s="3" t="n">
        <v>46165</v>
      </c>
      <c r="C62" s="2" t="s">
        <v>52</v>
      </c>
      <c r="D62" s="2" t="s">
        <v>17</v>
      </c>
      <c r="E62" s="2" t="s">
        <v>14</v>
      </c>
      <c r="F62" s="2" t="n">
        <v>3</v>
      </c>
      <c r="G62" s="4" t="n">
        <v>12</v>
      </c>
    </row>
    <row r="63" customFormat="false" ht="15" hidden="false" customHeight="false" outlineLevel="0" collapsed="false">
      <c r="A63" s="2" t="s">
        <v>92</v>
      </c>
      <c r="B63" s="3" t="n">
        <v>46166</v>
      </c>
      <c r="C63" s="2" t="s">
        <v>28</v>
      </c>
      <c r="D63" s="2" t="s">
        <v>29</v>
      </c>
      <c r="E63" s="2" t="s">
        <v>20</v>
      </c>
      <c r="F63" s="2" t="n">
        <v>11</v>
      </c>
      <c r="G63" s="4" t="n">
        <v>165</v>
      </c>
    </row>
    <row r="64" customFormat="false" ht="15" hidden="false" customHeight="false" outlineLevel="0" collapsed="false">
      <c r="A64" s="2" t="s">
        <v>93</v>
      </c>
      <c r="B64" s="3" t="n">
        <v>46168</v>
      </c>
      <c r="C64" s="2" t="s">
        <v>41</v>
      </c>
      <c r="D64" s="2" t="s">
        <v>13</v>
      </c>
      <c r="E64" s="2" t="s">
        <v>20</v>
      </c>
      <c r="F64" s="2" t="n">
        <v>10</v>
      </c>
      <c r="G64" s="4" t="n">
        <v>80</v>
      </c>
    </row>
    <row r="65" customFormat="false" ht="15" hidden="false" customHeight="false" outlineLevel="0" collapsed="false">
      <c r="A65" s="2" t="s">
        <v>94</v>
      </c>
      <c r="B65" s="3" t="n">
        <v>46169</v>
      </c>
      <c r="C65" s="2" t="s">
        <v>22</v>
      </c>
      <c r="D65" s="2" t="s">
        <v>9</v>
      </c>
      <c r="E65" s="2" t="s">
        <v>14</v>
      </c>
      <c r="F65" s="2" t="n">
        <v>5</v>
      </c>
      <c r="G65" s="4" t="n">
        <v>25</v>
      </c>
    </row>
    <row r="66" customFormat="false" ht="15" hidden="false" customHeight="false" outlineLevel="0" collapsed="false">
      <c r="A66" s="2" t="s">
        <v>95</v>
      </c>
      <c r="B66" s="3" t="n">
        <v>46170</v>
      </c>
      <c r="C66" s="2" t="s">
        <v>50</v>
      </c>
      <c r="D66" s="2" t="s">
        <v>29</v>
      </c>
      <c r="E66" s="2" t="s">
        <v>26</v>
      </c>
      <c r="F66" s="2" t="n">
        <v>6</v>
      </c>
      <c r="G66" s="4" t="n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n">
        <v>46029</v>
      </c>
      <c r="C2" s="2" t="s">
        <v>8</v>
      </c>
      <c r="D2" s="2" t="s">
        <v>9</v>
      </c>
      <c r="E2" s="2" t="s">
        <v>10</v>
      </c>
      <c r="F2" s="2" t="n">
        <v>9</v>
      </c>
      <c r="G2" s="4" t="n">
        <v>144</v>
      </c>
    </row>
    <row r="3" customFormat="false" ht="15" hidden="false" customHeight="false" outlineLevel="0" collapsed="false">
      <c r="A3" s="2" t="s">
        <v>11</v>
      </c>
      <c r="B3" s="3" t="n">
        <v>46033</v>
      </c>
      <c r="C3" s="2" t="s">
        <v>12</v>
      </c>
      <c r="D3" s="2" t="s">
        <v>13</v>
      </c>
      <c r="E3" s="2" t="s">
        <v>14</v>
      </c>
      <c r="F3" s="2" t="n">
        <v>8</v>
      </c>
      <c r="G3" s="4" t="n">
        <v>48</v>
      </c>
    </row>
    <row r="4" customFormat="false" ht="15" hidden="false" customHeight="false" outlineLevel="0" collapsed="false">
      <c r="A4" s="2" t="s">
        <v>15</v>
      </c>
      <c r="B4" s="3" t="n">
        <v>46034</v>
      </c>
      <c r="C4" s="2" t="s">
        <v>16</v>
      </c>
      <c r="D4" s="2" t="s">
        <v>17</v>
      </c>
      <c r="E4" s="2" t="s">
        <v>14</v>
      </c>
      <c r="F4" s="2" t="n">
        <v>9</v>
      </c>
      <c r="G4" s="4" t="n">
        <v>162</v>
      </c>
    </row>
    <row r="5" customFormat="false" ht="15" hidden="false" customHeight="false" outlineLevel="0" collapsed="false">
      <c r="A5" s="2" t="s">
        <v>18</v>
      </c>
      <c r="B5" s="3" t="n">
        <v>46037</v>
      </c>
      <c r="C5" s="2" t="s">
        <v>19</v>
      </c>
      <c r="D5" s="2" t="s">
        <v>17</v>
      </c>
      <c r="E5" s="2" t="s">
        <v>20</v>
      </c>
      <c r="F5" s="2" t="n">
        <v>5</v>
      </c>
      <c r="G5" s="4" t="n">
        <v>32.5</v>
      </c>
    </row>
    <row r="6" customFormat="false" ht="15" hidden="false" customHeight="false" outlineLevel="0" collapsed="false">
      <c r="A6" s="2" t="s">
        <v>21</v>
      </c>
      <c r="B6" s="3" t="n">
        <v>46039</v>
      </c>
      <c r="C6" s="2" t="s">
        <v>22</v>
      </c>
      <c r="D6" s="2" t="s">
        <v>9</v>
      </c>
      <c r="E6" s="2" t="s">
        <v>10</v>
      </c>
      <c r="F6" s="2" t="n">
        <v>9</v>
      </c>
      <c r="G6" s="4" t="n">
        <v>45</v>
      </c>
    </row>
    <row r="7" customFormat="false" ht="15" hidden="false" customHeight="false" outlineLevel="0" collapsed="false">
      <c r="A7" s="2" t="s">
        <v>23</v>
      </c>
      <c r="B7" s="3" t="n">
        <v>46042</v>
      </c>
      <c r="C7" s="2" t="s">
        <v>12</v>
      </c>
      <c r="D7" s="2" t="s">
        <v>13</v>
      </c>
      <c r="E7" s="2" t="s">
        <v>10</v>
      </c>
      <c r="F7" s="2" t="n">
        <v>7</v>
      </c>
      <c r="G7" s="4" t="n">
        <v>42</v>
      </c>
    </row>
    <row r="8" customFormat="false" ht="15" hidden="false" customHeight="false" outlineLevel="0" collapsed="false">
      <c r="A8" s="2" t="s">
        <v>24</v>
      </c>
      <c r="B8" s="3" t="n">
        <v>46043</v>
      </c>
      <c r="C8" s="2" t="s">
        <v>25</v>
      </c>
      <c r="D8" s="2" t="s">
        <v>9</v>
      </c>
      <c r="E8" s="2" t="s">
        <v>26</v>
      </c>
      <c r="F8" s="2" t="n">
        <v>9</v>
      </c>
      <c r="G8" s="4" t="n">
        <v>180</v>
      </c>
    </row>
    <row r="9" customFormat="false" ht="15" hidden="false" customHeight="false" outlineLevel="0" collapsed="false">
      <c r="A9" s="2" t="s">
        <v>27</v>
      </c>
      <c r="B9" s="3" t="n">
        <v>46043</v>
      </c>
      <c r="C9" s="2" t="s">
        <v>28</v>
      </c>
      <c r="D9" s="2" t="s">
        <v>29</v>
      </c>
      <c r="E9" s="2" t="s">
        <v>14</v>
      </c>
      <c r="F9" s="2" t="n">
        <v>10</v>
      </c>
      <c r="G9" s="4" t="n">
        <v>150</v>
      </c>
    </row>
    <row r="10" customFormat="false" ht="15" hidden="false" customHeight="false" outlineLevel="0" collapsed="false">
      <c r="A10" s="2" t="s">
        <v>30</v>
      </c>
      <c r="B10" s="3" t="n">
        <v>46044</v>
      </c>
      <c r="C10" s="2" t="s">
        <v>16</v>
      </c>
      <c r="D10" s="2" t="s">
        <v>17</v>
      </c>
      <c r="E10" s="2" t="s">
        <v>20</v>
      </c>
      <c r="F10" s="2" t="n">
        <v>2</v>
      </c>
      <c r="G10" s="4" t="n">
        <v>36</v>
      </c>
    </row>
    <row r="11" customFormat="false" ht="15" hidden="false" customHeight="false" outlineLevel="0" collapsed="false">
      <c r="A11" s="2" t="s">
        <v>31</v>
      </c>
      <c r="B11" s="3" t="n">
        <v>46044</v>
      </c>
      <c r="C11" s="2" t="s">
        <v>32</v>
      </c>
      <c r="D11" s="2" t="s">
        <v>17</v>
      </c>
      <c r="E11" s="2" t="s">
        <v>10</v>
      </c>
      <c r="F11" s="2" t="n">
        <v>9</v>
      </c>
      <c r="G11" s="4" t="n">
        <v>31.5</v>
      </c>
    </row>
    <row r="12" customFormat="false" ht="15" hidden="false" customHeight="false" outlineLevel="0" collapsed="false">
      <c r="A12" s="2" t="s">
        <v>33</v>
      </c>
      <c r="B12" s="3" t="n">
        <v>46046</v>
      </c>
      <c r="C12" s="2" t="s">
        <v>8</v>
      </c>
      <c r="D12" s="2" t="s">
        <v>9</v>
      </c>
      <c r="E12" s="2" t="s">
        <v>10</v>
      </c>
      <c r="F12" s="2" t="n">
        <v>11</v>
      </c>
      <c r="G12" s="4" t="n">
        <v>176</v>
      </c>
    </row>
    <row r="13" customFormat="false" ht="15" hidden="false" customHeight="false" outlineLevel="0" collapsed="false">
      <c r="A13" s="2" t="s">
        <v>34</v>
      </c>
      <c r="B13" s="3" t="n">
        <v>46047</v>
      </c>
      <c r="C13" s="2" t="s">
        <v>35</v>
      </c>
      <c r="D13" s="2" t="s">
        <v>29</v>
      </c>
      <c r="E13" s="2" t="s">
        <v>14</v>
      </c>
      <c r="F13" s="2" t="n">
        <v>12</v>
      </c>
      <c r="G13" s="4" t="n">
        <v>90</v>
      </c>
    </row>
    <row r="14" customFormat="false" ht="15" hidden="false" customHeight="false" outlineLevel="0" collapsed="false">
      <c r="A14" s="2" t="s">
        <v>36</v>
      </c>
      <c r="B14" s="3" t="n">
        <v>46047</v>
      </c>
      <c r="C14" s="2" t="s">
        <v>37</v>
      </c>
      <c r="D14" s="2" t="s">
        <v>13</v>
      </c>
      <c r="E14" s="2" t="s">
        <v>10</v>
      </c>
      <c r="F14" s="2" t="n">
        <v>11</v>
      </c>
      <c r="G14" s="4" t="n">
        <v>495</v>
      </c>
    </row>
    <row r="15" customFormat="false" ht="15" hidden="false" customHeight="false" outlineLevel="0" collapsed="false">
      <c r="A15" s="2" t="s">
        <v>38</v>
      </c>
      <c r="B15" s="3" t="n">
        <v>46050</v>
      </c>
      <c r="C15" s="2" t="s">
        <v>8</v>
      </c>
      <c r="D15" s="2" t="s">
        <v>9</v>
      </c>
      <c r="E15" s="2" t="s">
        <v>20</v>
      </c>
      <c r="F15" s="2" t="n">
        <v>6</v>
      </c>
      <c r="G15" s="4" t="n">
        <v>96</v>
      </c>
    </row>
    <row r="16" customFormat="false" ht="15" hidden="false" customHeight="false" outlineLevel="0" collapsed="false">
      <c r="A16" s="2" t="s">
        <v>39</v>
      </c>
      <c r="B16" s="3" t="n">
        <v>46052</v>
      </c>
      <c r="C16" s="2" t="s">
        <v>19</v>
      </c>
      <c r="D16" s="2" t="s">
        <v>17</v>
      </c>
      <c r="E16" s="2" t="s">
        <v>20</v>
      </c>
      <c r="F16" s="2" t="n">
        <v>2</v>
      </c>
      <c r="G16" s="4" t="n">
        <v>13</v>
      </c>
    </row>
    <row r="17" customFormat="false" ht="15" hidden="false" customHeight="false" outlineLevel="0" collapsed="false">
      <c r="A17" s="2" t="s">
        <v>40</v>
      </c>
      <c r="B17" s="3" t="n">
        <v>46053</v>
      </c>
      <c r="C17" s="2" t="s">
        <v>41</v>
      </c>
      <c r="D17" s="2" t="s">
        <v>13</v>
      </c>
      <c r="E17" s="2" t="s">
        <v>10</v>
      </c>
      <c r="F17" s="2" t="n">
        <v>2</v>
      </c>
      <c r="G17" s="4" t="n">
        <v>16</v>
      </c>
    </row>
    <row r="18" customFormat="false" ht="15" hidden="false" customHeight="false" outlineLevel="0" collapsed="false">
      <c r="A18" s="2" t="s">
        <v>42</v>
      </c>
      <c r="B18" s="3" t="n">
        <v>46054</v>
      </c>
      <c r="C18" s="2" t="s">
        <v>43</v>
      </c>
      <c r="D18" s="2" t="s">
        <v>29</v>
      </c>
      <c r="E18" s="2" t="s">
        <v>14</v>
      </c>
      <c r="F18" s="2" t="n">
        <v>6</v>
      </c>
      <c r="G18" s="4" t="n">
        <v>54</v>
      </c>
    </row>
    <row r="19" customFormat="false" ht="15" hidden="false" customHeight="false" outlineLevel="0" collapsed="false">
      <c r="A19" s="2" t="s">
        <v>44</v>
      </c>
      <c r="B19" s="3" t="n">
        <v>46055</v>
      </c>
      <c r="C19" s="2" t="s">
        <v>32</v>
      </c>
      <c r="D19" s="2" t="s">
        <v>17</v>
      </c>
      <c r="E19" s="2" t="s">
        <v>14</v>
      </c>
      <c r="F19" s="2" t="n">
        <v>4</v>
      </c>
      <c r="G19" s="4" t="n">
        <v>14</v>
      </c>
    </row>
    <row r="20" customFormat="false" ht="15" hidden="false" customHeight="false" outlineLevel="0" collapsed="false">
      <c r="A20" s="2" t="s">
        <v>45</v>
      </c>
      <c r="B20" s="3" t="n">
        <v>46055</v>
      </c>
      <c r="C20" s="2" t="s">
        <v>46</v>
      </c>
      <c r="D20" s="2" t="s">
        <v>13</v>
      </c>
      <c r="E20" s="2" t="s">
        <v>26</v>
      </c>
      <c r="F20" s="2" t="n">
        <v>10</v>
      </c>
      <c r="G20" s="4" t="n">
        <v>280</v>
      </c>
    </row>
    <row r="21" customFormat="false" ht="15" hidden="false" customHeight="false" outlineLevel="0" collapsed="false">
      <c r="A21" s="2" t="s">
        <v>47</v>
      </c>
      <c r="B21" s="3" t="n">
        <v>46055</v>
      </c>
      <c r="C21" s="2" t="s">
        <v>35</v>
      </c>
      <c r="D21" s="2" t="s">
        <v>29</v>
      </c>
      <c r="E21" s="2" t="s">
        <v>14</v>
      </c>
      <c r="F21" s="2" t="n">
        <v>1</v>
      </c>
      <c r="G21" s="4" t="n">
        <v>7.5</v>
      </c>
    </row>
    <row r="22" customFormat="false" ht="15" hidden="false" customHeight="false" outlineLevel="0" collapsed="false">
      <c r="A22" s="2" t="s">
        <v>48</v>
      </c>
      <c r="B22" s="3" t="n">
        <v>46060</v>
      </c>
      <c r="C22" s="2" t="s">
        <v>22</v>
      </c>
      <c r="D22" s="2" t="s">
        <v>9</v>
      </c>
      <c r="E22" s="2" t="s">
        <v>26</v>
      </c>
      <c r="F22" s="2" t="n">
        <v>7</v>
      </c>
      <c r="G22" s="4" t="n">
        <v>35</v>
      </c>
    </row>
    <row r="23" customFormat="false" ht="15" hidden="false" customHeight="false" outlineLevel="0" collapsed="false">
      <c r="A23" s="2" t="s">
        <v>49</v>
      </c>
      <c r="B23" s="3" t="n">
        <v>46060</v>
      </c>
      <c r="C23" s="2" t="s">
        <v>50</v>
      </c>
      <c r="D23" s="2" t="s">
        <v>29</v>
      </c>
      <c r="E23" s="2" t="s">
        <v>20</v>
      </c>
      <c r="F23" s="2" t="n">
        <v>2</v>
      </c>
      <c r="G23" s="4" t="n">
        <v>24</v>
      </c>
    </row>
    <row r="24" customFormat="false" ht="15" hidden="false" customHeight="false" outlineLevel="0" collapsed="false">
      <c r="A24" s="2" t="s">
        <v>51</v>
      </c>
      <c r="B24" s="3" t="n">
        <v>46062</v>
      </c>
      <c r="C24" s="2" t="s">
        <v>52</v>
      </c>
      <c r="D24" s="2" t="s">
        <v>17</v>
      </c>
      <c r="E24" s="2" t="s">
        <v>26</v>
      </c>
      <c r="F24" s="2" t="n">
        <v>1</v>
      </c>
      <c r="G24" s="4" t="n">
        <v>4</v>
      </c>
    </row>
    <row r="25" customFormat="false" ht="15" hidden="false" customHeight="false" outlineLevel="0" collapsed="false">
      <c r="A25" s="2" t="s">
        <v>53</v>
      </c>
      <c r="B25" s="3" t="n">
        <v>46068</v>
      </c>
      <c r="C25" s="2" t="s">
        <v>32</v>
      </c>
      <c r="D25" s="2" t="s">
        <v>17</v>
      </c>
      <c r="E25" s="2" t="s">
        <v>26</v>
      </c>
      <c r="F25" s="2" t="n">
        <v>1</v>
      </c>
      <c r="G25" s="4" t="n">
        <v>3.5</v>
      </c>
    </row>
    <row r="26" customFormat="false" ht="15" hidden="false" customHeight="false" outlineLevel="0" collapsed="false">
      <c r="A26" s="2" t="s">
        <v>54</v>
      </c>
      <c r="B26" s="3" t="n">
        <v>46069</v>
      </c>
      <c r="C26" s="2" t="s">
        <v>50</v>
      </c>
      <c r="D26" s="2" t="s">
        <v>29</v>
      </c>
      <c r="E26" s="2" t="s">
        <v>14</v>
      </c>
      <c r="F26" s="2" t="n">
        <v>9</v>
      </c>
      <c r="G26" s="4" t="n">
        <v>108</v>
      </c>
    </row>
    <row r="27" customFormat="false" ht="15" hidden="false" customHeight="false" outlineLevel="0" collapsed="false">
      <c r="A27" s="2" t="s">
        <v>55</v>
      </c>
      <c r="B27" s="3" t="n">
        <v>46075</v>
      </c>
      <c r="C27" s="2" t="s">
        <v>52</v>
      </c>
      <c r="D27" s="2" t="s">
        <v>17</v>
      </c>
      <c r="E27" s="2" t="s">
        <v>26</v>
      </c>
      <c r="F27" s="2" t="n">
        <v>6</v>
      </c>
      <c r="G27" s="4" t="n">
        <v>24</v>
      </c>
    </row>
    <row r="28" customFormat="false" ht="15" hidden="false" customHeight="false" outlineLevel="0" collapsed="false">
      <c r="A28" s="2" t="s">
        <v>56</v>
      </c>
      <c r="B28" s="3" t="n">
        <v>46078</v>
      </c>
      <c r="C28" s="2" t="s">
        <v>50</v>
      </c>
      <c r="D28" s="2" t="s">
        <v>29</v>
      </c>
      <c r="E28" s="2" t="s">
        <v>20</v>
      </c>
      <c r="F28" s="2" t="n">
        <v>8</v>
      </c>
      <c r="G28" s="4" t="n">
        <v>96</v>
      </c>
    </row>
    <row r="29" customFormat="false" ht="15" hidden="false" customHeight="false" outlineLevel="0" collapsed="false">
      <c r="A29" s="2" t="s">
        <v>57</v>
      </c>
      <c r="B29" s="3" t="n">
        <v>46079</v>
      </c>
      <c r="C29" s="2" t="s">
        <v>43</v>
      </c>
      <c r="D29" s="2" t="s">
        <v>29</v>
      </c>
      <c r="E29" s="2" t="s">
        <v>20</v>
      </c>
      <c r="F29" s="2" t="n">
        <v>7</v>
      </c>
      <c r="G29" s="4" t="n">
        <v>63</v>
      </c>
    </row>
    <row r="30" customFormat="false" ht="15" hidden="false" customHeight="false" outlineLevel="0" collapsed="false">
      <c r="A30" s="2" t="s">
        <v>58</v>
      </c>
      <c r="B30" s="3" t="n">
        <v>46080</v>
      </c>
      <c r="C30" s="2" t="s">
        <v>43</v>
      </c>
      <c r="D30" s="2" t="s">
        <v>29</v>
      </c>
      <c r="E30" s="2" t="s">
        <v>20</v>
      </c>
      <c r="F30" s="2" t="n">
        <v>9</v>
      </c>
      <c r="G30" s="4" t="n">
        <v>81</v>
      </c>
    </row>
    <row r="31" customFormat="false" ht="15" hidden="false" customHeight="false" outlineLevel="0" collapsed="false">
      <c r="A31" s="2" t="s">
        <v>59</v>
      </c>
      <c r="B31" s="3" t="n">
        <v>46081</v>
      </c>
      <c r="C31" s="2" t="s">
        <v>43</v>
      </c>
      <c r="D31" s="2" t="s">
        <v>29</v>
      </c>
      <c r="E31" s="2" t="s">
        <v>20</v>
      </c>
      <c r="F31" s="2" t="n">
        <v>2</v>
      </c>
      <c r="G31" s="4" t="n">
        <v>18</v>
      </c>
    </row>
    <row r="32" customFormat="false" ht="15" hidden="false" customHeight="false" outlineLevel="0" collapsed="false">
      <c r="A32" s="2" t="s">
        <v>60</v>
      </c>
      <c r="B32" s="3" t="n">
        <v>46082</v>
      </c>
      <c r="C32" s="2" t="s">
        <v>52</v>
      </c>
      <c r="D32" s="2" t="s">
        <v>17</v>
      </c>
      <c r="E32" s="2" t="s">
        <v>20</v>
      </c>
      <c r="F32" s="2" t="n">
        <v>1</v>
      </c>
      <c r="G32" s="4" t="n">
        <v>4</v>
      </c>
    </row>
    <row r="33" customFormat="false" ht="15" hidden="false" customHeight="false" outlineLevel="0" collapsed="false">
      <c r="A33" s="2" t="s">
        <v>61</v>
      </c>
      <c r="B33" s="3" t="n">
        <v>46083</v>
      </c>
      <c r="C33" s="2" t="s">
        <v>12</v>
      </c>
      <c r="D33" s="2" t="s">
        <v>13</v>
      </c>
      <c r="E33" s="2" t="s">
        <v>10</v>
      </c>
      <c r="F33" s="2" t="n">
        <v>1</v>
      </c>
      <c r="G33" s="4" t="n">
        <v>6</v>
      </c>
    </row>
    <row r="34" customFormat="false" ht="15" hidden="false" customHeight="false" outlineLevel="0" collapsed="false">
      <c r="A34" s="2" t="s">
        <v>62</v>
      </c>
      <c r="B34" s="3" t="n">
        <v>46083</v>
      </c>
      <c r="C34" s="2" t="s">
        <v>52</v>
      </c>
      <c r="D34" s="2" t="s">
        <v>17</v>
      </c>
      <c r="E34" s="2" t="s">
        <v>10</v>
      </c>
      <c r="F34" s="2" t="n">
        <v>4</v>
      </c>
      <c r="G34" s="4" t="n">
        <v>16</v>
      </c>
    </row>
    <row r="35" customFormat="false" ht="15" hidden="false" customHeight="false" outlineLevel="0" collapsed="false">
      <c r="A35" s="2" t="s">
        <v>63</v>
      </c>
      <c r="B35" s="3" t="n">
        <v>46086</v>
      </c>
      <c r="C35" s="2" t="s">
        <v>19</v>
      </c>
      <c r="D35" s="2" t="s">
        <v>17</v>
      </c>
      <c r="E35" s="2" t="s">
        <v>20</v>
      </c>
      <c r="F35" s="2" t="n">
        <v>8</v>
      </c>
      <c r="G35" s="4" t="n">
        <v>52</v>
      </c>
    </row>
    <row r="36" customFormat="false" ht="15" hidden="false" customHeight="false" outlineLevel="0" collapsed="false">
      <c r="A36" s="2" t="s">
        <v>64</v>
      </c>
      <c r="B36" s="3" t="n">
        <v>46087</v>
      </c>
      <c r="C36" s="2" t="s">
        <v>50</v>
      </c>
      <c r="D36" s="2" t="s">
        <v>29</v>
      </c>
      <c r="E36" s="2" t="s">
        <v>14</v>
      </c>
      <c r="F36" s="2" t="n">
        <v>9</v>
      </c>
      <c r="G36" s="4" t="n">
        <v>108</v>
      </c>
    </row>
    <row r="37" customFormat="false" ht="15" hidden="false" customHeight="false" outlineLevel="0" collapsed="false">
      <c r="A37" s="2" t="s">
        <v>65</v>
      </c>
      <c r="B37" s="3" t="n">
        <v>46087</v>
      </c>
      <c r="C37" s="2" t="s">
        <v>8</v>
      </c>
      <c r="D37" s="2" t="s">
        <v>9</v>
      </c>
      <c r="E37" s="2" t="s">
        <v>14</v>
      </c>
      <c r="F37" s="2" t="n">
        <v>10</v>
      </c>
      <c r="G37" s="4" t="n">
        <v>160</v>
      </c>
    </row>
    <row r="38" customFormat="false" ht="15" hidden="false" customHeight="false" outlineLevel="0" collapsed="false">
      <c r="A38" s="2" t="s">
        <v>66</v>
      </c>
      <c r="B38" s="3" t="n">
        <v>46088</v>
      </c>
      <c r="C38" s="2" t="s">
        <v>52</v>
      </c>
      <c r="D38" s="2" t="s">
        <v>17</v>
      </c>
      <c r="E38" s="2" t="s">
        <v>26</v>
      </c>
      <c r="F38" s="2" t="n">
        <v>2</v>
      </c>
      <c r="G38" s="4" t="n">
        <v>8</v>
      </c>
    </row>
    <row r="39" customFormat="false" ht="15" hidden="false" customHeight="false" outlineLevel="0" collapsed="false">
      <c r="A39" s="2" t="s">
        <v>67</v>
      </c>
      <c r="B39" s="3" t="n">
        <v>46089</v>
      </c>
      <c r="C39" s="2" t="s">
        <v>35</v>
      </c>
      <c r="D39" s="2" t="s">
        <v>29</v>
      </c>
      <c r="E39" s="2" t="s">
        <v>14</v>
      </c>
      <c r="F39" s="2" t="n">
        <v>8</v>
      </c>
      <c r="G39" s="4" t="n">
        <v>60</v>
      </c>
    </row>
    <row r="40" customFormat="false" ht="15" hidden="false" customHeight="false" outlineLevel="0" collapsed="false">
      <c r="A40" s="2" t="s">
        <v>68</v>
      </c>
      <c r="B40" s="3" t="n">
        <v>46090</v>
      </c>
      <c r="C40" s="2" t="s">
        <v>46</v>
      </c>
      <c r="D40" s="2" t="s">
        <v>13</v>
      </c>
      <c r="E40" s="2" t="s">
        <v>26</v>
      </c>
      <c r="F40" s="2" t="n">
        <v>3</v>
      </c>
      <c r="G40" s="4" t="n">
        <v>84</v>
      </c>
    </row>
    <row r="41" customFormat="false" ht="15" hidden="false" customHeight="false" outlineLevel="0" collapsed="false">
      <c r="A41" s="2" t="s">
        <v>69</v>
      </c>
      <c r="B41" s="3" t="n">
        <v>46091</v>
      </c>
      <c r="C41" s="2" t="s">
        <v>52</v>
      </c>
      <c r="D41" s="2" t="s">
        <v>17</v>
      </c>
      <c r="E41" s="2" t="s">
        <v>20</v>
      </c>
      <c r="F41" s="2" t="n">
        <v>11</v>
      </c>
      <c r="G41" s="4" t="n">
        <v>44</v>
      </c>
    </row>
    <row r="42" customFormat="false" ht="15" hidden="false" customHeight="false" outlineLevel="0" collapsed="false">
      <c r="A42" s="2" t="s">
        <v>70</v>
      </c>
      <c r="B42" s="3" t="n">
        <v>46094</v>
      </c>
      <c r="C42" s="2" t="s">
        <v>19</v>
      </c>
      <c r="D42" s="2" t="s">
        <v>17</v>
      </c>
      <c r="E42" s="2" t="s">
        <v>10</v>
      </c>
      <c r="F42" s="2" t="n">
        <v>7</v>
      </c>
      <c r="G42" s="4" t="n">
        <v>45.5</v>
      </c>
    </row>
    <row r="43" customFormat="false" ht="15" hidden="false" customHeight="false" outlineLevel="0" collapsed="false">
      <c r="A43" s="2" t="s">
        <v>71</v>
      </c>
      <c r="B43" s="3" t="n">
        <v>46094</v>
      </c>
      <c r="C43" s="2" t="s">
        <v>72</v>
      </c>
      <c r="D43" s="2" t="s">
        <v>9</v>
      </c>
      <c r="E43" s="2" t="s">
        <v>26</v>
      </c>
      <c r="F43" s="2" t="n">
        <v>12</v>
      </c>
      <c r="G43" s="4" t="n">
        <v>84</v>
      </c>
    </row>
    <row r="44" customFormat="false" ht="15" hidden="false" customHeight="false" outlineLevel="0" collapsed="false">
      <c r="A44" s="2" t="s">
        <v>73</v>
      </c>
      <c r="B44" s="3" t="n">
        <v>46095</v>
      </c>
      <c r="C44" s="2" t="s">
        <v>16</v>
      </c>
      <c r="D44" s="2" t="s">
        <v>17</v>
      </c>
      <c r="E44" s="2" t="s">
        <v>14</v>
      </c>
      <c r="F44" s="2" t="n">
        <v>3</v>
      </c>
      <c r="G44" s="4" t="n">
        <v>54</v>
      </c>
    </row>
    <row r="45" customFormat="false" ht="15" hidden="false" customHeight="false" outlineLevel="0" collapsed="false">
      <c r="A45" s="2" t="s">
        <v>74</v>
      </c>
      <c r="B45" s="3" t="n">
        <v>46098</v>
      </c>
      <c r="C45" s="2" t="s">
        <v>16</v>
      </c>
      <c r="D45" s="2" t="s">
        <v>17</v>
      </c>
      <c r="E45" s="2" t="s">
        <v>26</v>
      </c>
      <c r="F45" s="2" t="n">
        <v>6</v>
      </c>
      <c r="G45" s="4" t="n">
        <v>108</v>
      </c>
    </row>
    <row r="46" customFormat="false" ht="15" hidden="false" customHeight="false" outlineLevel="0" collapsed="false">
      <c r="A46" s="2" t="s">
        <v>75</v>
      </c>
      <c r="B46" s="3" t="n">
        <v>46098</v>
      </c>
      <c r="C46" s="2" t="s">
        <v>46</v>
      </c>
      <c r="D46" s="2" t="s">
        <v>13</v>
      </c>
      <c r="E46" s="2" t="s">
        <v>20</v>
      </c>
      <c r="F46" s="2" t="n">
        <v>2</v>
      </c>
      <c r="G46" s="4" t="n">
        <v>56</v>
      </c>
    </row>
    <row r="47" customFormat="false" ht="15" hidden="false" customHeight="false" outlineLevel="0" collapsed="false">
      <c r="A47" s="2" t="s">
        <v>76</v>
      </c>
      <c r="B47" s="3" t="n">
        <v>46107</v>
      </c>
      <c r="C47" s="2" t="s">
        <v>12</v>
      </c>
      <c r="D47" s="2" t="s">
        <v>13</v>
      </c>
      <c r="E47" s="2" t="s">
        <v>26</v>
      </c>
      <c r="F47" s="2" t="n">
        <v>11</v>
      </c>
      <c r="G47" s="4" t="n">
        <v>66</v>
      </c>
    </row>
    <row r="48" customFormat="false" ht="15" hidden="false" customHeight="false" outlineLevel="0" collapsed="false">
      <c r="A48" s="2" t="s">
        <v>77</v>
      </c>
      <c r="B48" s="3" t="n">
        <v>46110</v>
      </c>
      <c r="C48" s="2" t="s">
        <v>16</v>
      </c>
      <c r="D48" s="2" t="s">
        <v>17</v>
      </c>
      <c r="E48" s="2" t="s">
        <v>10</v>
      </c>
      <c r="F48" s="2" t="n">
        <v>6</v>
      </c>
      <c r="G48" s="4" t="n">
        <v>108</v>
      </c>
    </row>
    <row r="49" customFormat="false" ht="15" hidden="false" customHeight="false" outlineLevel="0" collapsed="false">
      <c r="A49" s="2" t="s">
        <v>78</v>
      </c>
      <c r="B49" s="3" t="n">
        <v>46114</v>
      </c>
      <c r="C49" s="2" t="s">
        <v>32</v>
      </c>
      <c r="D49" s="2" t="s">
        <v>17</v>
      </c>
      <c r="E49" s="2" t="s">
        <v>26</v>
      </c>
      <c r="F49" s="2" t="n">
        <v>3</v>
      </c>
      <c r="G49" s="4" t="n">
        <v>10.5</v>
      </c>
    </row>
    <row r="50" customFormat="false" ht="15" hidden="false" customHeight="false" outlineLevel="0" collapsed="false">
      <c r="A50" s="2" t="s">
        <v>79</v>
      </c>
      <c r="B50" s="3" t="n">
        <v>46120</v>
      </c>
      <c r="C50" s="2" t="s">
        <v>41</v>
      </c>
      <c r="D50" s="2" t="s">
        <v>13</v>
      </c>
      <c r="E50" s="2" t="s">
        <v>20</v>
      </c>
      <c r="F50" s="2" t="n">
        <v>4</v>
      </c>
      <c r="G50" s="4" t="n">
        <v>32</v>
      </c>
    </row>
    <row r="51" customFormat="false" ht="15" hidden="false" customHeight="false" outlineLevel="0" collapsed="false">
      <c r="A51" s="2" t="s">
        <v>80</v>
      </c>
      <c r="B51" s="3" t="n">
        <v>46129</v>
      </c>
      <c r="C51" s="2" t="s">
        <v>28</v>
      </c>
      <c r="D51" s="2" t="s">
        <v>29</v>
      </c>
      <c r="E51" s="2" t="s">
        <v>14</v>
      </c>
      <c r="F51" s="2" t="n">
        <v>10</v>
      </c>
      <c r="G51" s="4" t="n">
        <v>150</v>
      </c>
    </row>
    <row r="52" customFormat="false" ht="15" hidden="false" customHeight="false" outlineLevel="0" collapsed="false">
      <c r="A52" s="2" t="s">
        <v>81</v>
      </c>
      <c r="B52" s="3" t="n">
        <v>46131</v>
      </c>
      <c r="C52" s="2" t="s">
        <v>25</v>
      </c>
      <c r="D52" s="2" t="s">
        <v>9</v>
      </c>
      <c r="E52" s="2" t="s">
        <v>14</v>
      </c>
      <c r="F52" s="2" t="n">
        <v>7</v>
      </c>
      <c r="G52" s="4" t="n">
        <v>140</v>
      </c>
    </row>
    <row r="53" customFormat="false" ht="15" hidden="false" customHeight="false" outlineLevel="0" collapsed="false">
      <c r="A53" s="2" t="s">
        <v>82</v>
      </c>
      <c r="B53" s="3" t="n">
        <v>46135</v>
      </c>
      <c r="C53" s="2" t="s">
        <v>25</v>
      </c>
      <c r="D53" s="2" t="s">
        <v>9</v>
      </c>
      <c r="E53" s="2" t="s">
        <v>10</v>
      </c>
      <c r="F53" s="2" t="n">
        <v>11</v>
      </c>
      <c r="G53" s="4" t="n">
        <v>220</v>
      </c>
    </row>
    <row r="54" customFormat="false" ht="15" hidden="false" customHeight="false" outlineLevel="0" collapsed="false">
      <c r="A54" s="2" t="s">
        <v>83</v>
      </c>
      <c r="B54" s="3" t="n">
        <v>46135</v>
      </c>
      <c r="C54" s="2" t="s">
        <v>41</v>
      </c>
      <c r="D54" s="2" t="s">
        <v>13</v>
      </c>
      <c r="E54" s="2" t="s">
        <v>26</v>
      </c>
      <c r="F54" s="2" t="n">
        <v>4</v>
      </c>
      <c r="G54" s="4" t="n">
        <v>32</v>
      </c>
    </row>
    <row r="55" customFormat="false" ht="15" hidden="false" customHeight="false" outlineLevel="0" collapsed="false">
      <c r="A55" s="2" t="s">
        <v>84</v>
      </c>
      <c r="B55" s="3" t="n">
        <v>46135</v>
      </c>
      <c r="C55" s="2" t="s">
        <v>28</v>
      </c>
      <c r="D55" s="2" t="s">
        <v>29</v>
      </c>
      <c r="E55" s="2" t="s">
        <v>10</v>
      </c>
      <c r="F55" s="2" t="n">
        <v>6</v>
      </c>
      <c r="G55" s="4" t="n">
        <v>90</v>
      </c>
    </row>
    <row r="56" customFormat="false" ht="15" hidden="false" customHeight="false" outlineLevel="0" collapsed="false">
      <c r="A56" s="2" t="s">
        <v>85</v>
      </c>
      <c r="B56" s="3" t="n">
        <v>46143</v>
      </c>
      <c r="C56" s="2" t="s">
        <v>32</v>
      </c>
      <c r="D56" s="2" t="s">
        <v>17</v>
      </c>
      <c r="E56" s="2" t="s">
        <v>14</v>
      </c>
      <c r="F56" s="2" t="n">
        <v>9</v>
      </c>
      <c r="G56" s="4" t="n">
        <v>31.5</v>
      </c>
    </row>
    <row r="57" customFormat="false" ht="15" hidden="false" customHeight="false" outlineLevel="0" collapsed="false">
      <c r="A57" s="2" t="s">
        <v>86</v>
      </c>
      <c r="B57" s="3" t="n">
        <v>46144</v>
      </c>
      <c r="C57" s="2" t="s">
        <v>41</v>
      </c>
      <c r="D57" s="2" t="s">
        <v>13</v>
      </c>
      <c r="E57" s="2" t="s">
        <v>14</v>
      </c>
      <c r="F57" s="2" t="n">
        <v>4</v>
      </c>
      <c r="G57" s="4" t="n">
        <v>32</v>
      </c>
    </row>
    <row r="58" customFormat="false" ht="15" hidden="false" customHeight="false" outlineLevel="0" collapsed="false">
      <c r="A58" s="2" t="s">
        <v>87</v>
      </c>
      <c r="B58" s="3" t="n">
        <v>46145</v>
      </c>
      <c r="C58" s="2" t="s">
        <v>72</v>
      </c>
      <c r="D58" s="2" t="s">
        <v>9</v>
      </c>
      <c r="E58" s="2" t="s">
        <v>14</v>
      </c>
      <c r="F58" s="2" t="n">
        <v>11</v>
      </c>
      <c r="G58" s="4" t="n">
        <v>77</v>
      </c>
    </row>
    <row r="59" customFormat="false" ht="15" hidden="false" customHeight="false" outlineLevel="0" collapsed="false">
      <c r="A59" s="2" t="s">
        <v>88</v>
      </c>
      <c r="B59" s="3" t="n">
        <v>46152</v>
      </c>
      <c r="C59" s="2" t="s">
        <v>28</v>
      </c>
      <c r="D59" s="2" t="s">
        <v>29</v>
      </c>
      <c r="E59" s="2" t="s">
        <v>10</v>
      </c>
      <c r="F59" s="2" t="n">
        <v>11</v>
      </c>
      <c r="G59" s="4" t="n">
        <v>165</v>
      </c>
    </row>
    <row r="60" customFormat="false" ht="15" hidden="false" customHeight="false" outlineLevel="0" collapsed="false">
      <c r="A60" s="2" t="s">
        <v>89</v>
      </c>
      <c r="B60" s="3" t="n">
        <v>46159</v>
      </c>
      <c r="C60" s="2" t="s">
        <v>8</v>
      </c>
      <c r="D60" s="2" t="s">
        <v>9</v>
      </c>
      <c r="E60" s="2" t="s">
        <v>14</v>
      </c>
      <c r="F60" s="2" t="n">
        <v>4</v>
      </c>
      <c r="G60" s="4" t="n">
        <v>64</v>
      </c>
    </row>
    <row r="61" customFormat="false" ht="15" hidden="false" customHeight="false" outlineLevel="0" collapsed="false">
      <c r="A61" s="2" t="s">
        <v>90</v>
      </c>
      <c r="B61" s="3" t="n">
        <v>46163</v>
      </c>
      <c r="C61" s="2" t="s">
        <v>46</v>
      </c>
      <c r="D61" s="2" t="s">
        <v>13</v>
      </c>
      <c r="E61" s="2" t="s">
        <v>26</v>
      </c>
      <c r="F61" s="2" t="n">
        <v>9</v>
      </c>
      <c r="G61" s="4" t="n">
        <v>252</v>
      </c>
    </row>
    <row r="62" customFormat="false" ht="15" hidden="false" customHeight="false" outlineLevel="0" collapsed="false">
      <c r="A62" s="2" t="s">
        <v>91</v>
      </c>
      <c r="B62" s="3" t="n">
        <v>46165</v>
      </c>
      <c r="C62" s="2" t="s">
        <v>52</v>
      </c>
      <c r="D62" s="2" t="s">
        <v>17</v>
      </c>
      <c r="E62" s="2" t="s">
        <v>14</v>
      </c>
      <c r="F62" s="2" t="n">
        <v>3</v>
      </c>
      <c r="G62" s="4" t="n">
        <v>12</v>
      </c>
    </row>
    <row r="63" customFormat="false" ht="15" hidden="false" customHeight="false" outlineLevel="0" collapsed="false">
      <c r="A63" s="2" t="s">
        <v>92</v>
      </c>
      <c r="B63" s="3" t="n">
        <v>46166</v>
      </c>
      <c r="C63" s="2" t="s">
        <v>28</v>
      </c>
      <c r="D63" s="2" t="s">
        <v>29</v>
      </c>
      <c r="E63" s="2" t="s">
        <v>20</v>
      </c>
      <c r="F63" s="2" t="n">
        <v>11</v>
      </c>
      <c r="G63" s="4" t="n">
        <v>165</v>
      </c>
    </row>
    <row r="64" customFormat="false" ht="15" hidden="false" customHeight="false" outlineLevel="0" collapsed="false">
      <c r="A64" s="2" t="s">
        <v>93</v>
      </c>
      <c r="B64" s="3" t="n">
        <v>46168</v>
      </c>
      <c r="C64" s="2" t="s">
        <v>41</v>
      </c>
      <c r="D64" s="2" t="s">
        <v>13</v>
      </c>
      <c r="E64" s="2" t="s">
        <v>20</v>
      </c>
      <c r="F64" s="2" t="n">
        <v>10</v>
      </c>
      <c r="G64" s="4" t="n">
        <v>80</v>
      </c>
    </row>
    <row r="65" customFormat="false" ht="15" hidden="false" customHeight="false" outlineLevel="0" collapsed="false">
      <c r="A65" s="2" t="s">
        <v>94</v>
      </c>
      <c r="B65" s="3" t="n">
        <v>46169</v>
      </c>
      <c r="C65" s="2" t="s">
        <v>22</v>
      </c>
      <c r="D65" s="2" t="s">
        <v>9</v>
      </c>
      <c r="E65" s="2" t="s">
        <v>14</v>
      </c>
      <c r="F65" s="2" t="n">
        <v>5</v>
      </c>
      <c r="G65" s="4" t="n">
        <v>25</v>
      </c>
    </row>
    <row r="66" customFormat="false" ht="15" hidden="false" customHeight="false" outlineLevel="0" collapsed="false">
      <c r="A66" s="2" t="s">
        <v>95</v>
      </c>
      <c r="B66" s="3" t="n">
        <v>46170</v>
      </c>
      <c r="C66" s="2" t="s">
        <v>50</v>
      </c>
      <c r="D66" s="2" t="s">
        <v>29</v>
      </c>
      <c r="E66" s="2" t="s">
        <v>26</v>
      </c>
      <c r="F66" s="2" t="n">
        <v>6</v>
      </c>
      <c r="G66" s="4" t="n">
        <v>72</v>
      </c>
    </row>
    <row r="68" customFormat="false" ht="15" hidden="false" customHeight="false" outlineLevel="0" collapsed="false">
      <c r="A68" s="5" t="s">
        <v>96</v>
      </c>
      <c r="B68" s="5"/>
      <c r="C68" s="5"/>
      <c r="D68" s="5"/>
      <c r="E68" s="5"/>
      <c r="F68" s="5"/>
      <c r="G68" s="5"/>
    </row>
  </sheetData>
  <mergeCells count="1">
    <mergeCell ref="A68:G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97</v>
      </c>
      <c r="B1" s="1" t="s">
        <v>98</v>
      </c>
      <c r="C1" s="1" t="s">
        <v>99</v>
      </c>
      <c r="D1" s="1" t="s">
        <v>100</v>
      </c>
    </row>
    <row r="2" customFormat="false" ht="15" hidden="false" customHeight="false" outlineLevel="0" collapsed="false">
      <c r="A2" s="6" t="s">
        <v>0</v>
      </c>
      <c r="B2" s="6" t="s">
        <v>101</v>
      </c>
      <c r="C2" s="6" t="s">
        <v>102</v>
      </c>
      <c r="D2" s="6" t="s">
        <v>7</v>
      </c>
    </row>
    <row r="3" customFormat="false" ht="15" hidden="false" customHeight="false" outlineLevel="0" collapsed="false">
      <c r="A3" s="6" t="s">
        <v>1</v>
      </c>
      <c r="B3" s="6" t="s">
        <v>103</v>
      </c>
      <c r="C3" s="6" t="s">
        <v>1</v>
      </c>
      <c r="D3" s="6" t="s">
        <v>104</v>
      </c>
    </row>
    <row r="4" customFormat="false" ht="15" hidden="false" customHeight="false" outlineLevel="0" collapsed="false">
      <c r="A4" s="6" t="s">
        <v>2</v>
      </c>
      <c r="B4" s="6" t="s">
        <v>105</v>
      </c>
      <c r="C4" s="6" t="s">
        <v>102</v>
      </c>
      <c r="D4" s="6" t="s">
        <v>52</v>
      </c>
    </row>
    <row r="5" customFormat="false" ht="15" hidden="false" customHeight="false" outlineLevel="0" collapsed="false">
      <c r="A5" s="6" t="s">
        <v>3</v>
      </c>
      <c r="B5" s="6" t="s">
        <v>106</v>
      </c>
      <c r="C5" s="6" t="s">
        <v>102</v>
      </c>
      <c r="D5" s="6" t="s">
        <v>17</v>
      </c>
    </row>
    <row r="6" customFormat="false" ht="15" hidden="false" customHeight="false" outlineLevel="0" collapsed="false">
      <c r="A6" s="6" t="s">
        <v>4</v>
      </c>
      <c r="B6" s="6" t="s">
        <v>107</v>
      </c>
      <c r="C6" s="6" t="s">
        <v>102</v>
      </c>
      <c r="D6" s="6" t="s">
        <v>10</v>
      </c>
    </row>
    <row r="7" customFormat="false" ht="15" hidden="false" customHeight="false" outlineLevel="0" collapsed="false">
      <c r="A7" s="6" t="s">
        <v>5</v>
      </c>
      <c r="B7" s="6" t="s">
        <v>108</v>
      </c>
      <c r="C7" s="6" t="s">
        <v>109</v>
      </c>
      <c r="D7" s="6" t="s">
        <v>110</v>
      </c>
    </row>
    <row r="8" customFormat="false" ht="15" hidden="false" customHeight="false" outlineLevel="0" collapsed="false">
      <c r="A8" s="6" t="s">
        <v>6</v>
      </c>
      <c r="B8" s="6" t="s">
        <v>111</v>
      </c>
      <c r="C8" s="6" t="s">
        <v>112</v>
      </c>
      <c r="D8" s="6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0"/>
  </cols>
  <sheetData>
    <row r="1" customFormat="false" ht="22.05" hidden="false" customHeight="false" outlineLevel="0" collapsed="false">
      <c r="A1" s="7" t="s">
        <v>114</v>
      </c>
      <c r="B1" s="7"/>
      <c r="C1" s="7"/>
      <c r="D1" s="7"/>
    </row>
    <row r="3" customFormat="false" ht="15" hidden="false" customHeight="false" outlineLevel="0" collapsed="false">
      <c r="A3" s="8" t="s">
        <v>115</v>
      </c>
    </row>
    <row r="4" customFormat="false" ht="15" hidden="false" customHeight="false" outlineLevel="0" collapsed="false">
      <c r="A4" s="1" t="s">
        <v>3</v>
      </c>
      <c r="B4" s="1" t="s">
        <v>116</v>
      </c>
    </row>
    <row r="5" customFormat="false" ht="15" hidden="false" customHeight="false" outlineLevel="0" collapsed="false">
      <c r="A5" s="2" t="s">
        <v>17</v>
      </c>
      <c r="B5" s="9" t="n">
        <f aca="false">SUMIFS(CleanedSales[Sales],CleanedSales[Category],A5)</f>
        <v>814</v>
      </c>
    </row>
    <row r="6" customFormat="false" ht="15" hidden="false" customHeight="false" outlineLevel="0" collapsed="false">
      <c r="A6" s="2" t="s">
        <v>13</v>
      </c>
      <c r="B6" s="9" t="n">
        <f aca="false">SUMIFS(CleanedSales[Sales],CleanedSales[Category],A6)</f>
        <v>1521</v>
      </c>
    </row>
    <row r="7" customFormat="false" ht="15" hidden="false" customHeight="false" outlineLevel="0" collapsed="false">
      <c r="A7" s="2" t="s">
        <v>29</v>
      </c>
      <c r="B7" s="9" t="n">
        <f aca="false">SUMIFS(CleanedSales[Sales],CleanedSales[Category],A7)</f>
        <v>1501.5</v>
      </c>
    </row>
    <row r="8" customFormat="false" ht="15" hidden="false" customHeight="false" outlineLevel="0" collapsed="false">
      <c r="A8" s="2" t="s">
        <v>9</v>
      </c>
      <c r="B8" s="9" t="n">
        <f aca="false">SUMIFS(CleanedSales[Sales],CleanedSales[Category],A8)</f>
        <v>1446</v>
      </c>
    </row>
    <row r="11" customFormat="false" ht="15" hidden="false" customHeight="false" outlineLevel="0" collapsed="false">
      <c r="A11" s="8" t="s">
        <v>117</v>
      </c>
    </row>
    <row r="12" customFormat="false" ht="15" hidden="false" customHeight="false" outlineLevel="0" collapsed="false">
      <c r="A12" s="1" t="s">
        <v>118</v>
      </c>
      <c r="B12" s="1" t="s">
        <v>116</v>
      </c>
    </row>
    <row r="13" customFormat="false" ht="15" hidden="false" customHeight="false" outlineLevel="0" collapsed="false">
      <c r="A13" s="2" t="s">
        <v>119</v>
      </c>
      <c r="B13" s="9" t="n">
        <f aca="false">SUMPRODUCT((CleanedSales[Sales])*(MONTH(CleanedSales[Date])=1))</f>
        <v>1757</v>
      </c>
    </row>
    <row r="14" customFormat="false" ht="15" hidden="false" customHeight="false" outlineLevel="0" collapsed="false">
      <c r="A14" s="2" t="s">
        <v>120</v>
      </c>
      <c r="B14" s="9" t="n">
        <f aca="false">SUMPRODUCT((CleanedSales[Sales])*(MONTH(CleanedSales[Date])=2))</f>
        <v>812</v>
      </c>
    </row>
    <row r="15" customFormat="false" ht="15" hidden="false" customHeight="false" outlineLevel="0" collapsed="false">
      <c r="A15" s="2" t="s">
        <v>121</v>
      </c>
      <c r="B15" s="9" t="n">
        <f aca="false">SUMPRODUCT((CleanedSales[Sales])*(MONTH(CleanedSales[Date])=3))</f>
        <v>1063.5</v>
      </c>
    </row>
    <row r="16" customFormat="false" ht="15" hidden="false" customHeight="false" outlineLevel="0" collapsed="false">
      <c r="A16" s="2" t="s">
        <v>122</v>
      </c>
      <c r="B16" s="9" t="n">
        <f aca="false">SUMPRODUCT((CleanedSales[Sales])*(MONTH(CleanedSales[Date])=4))</f>
        <v>674.5</v>
      </c>
    </row>
    <row r="17" customFormat="false" ht="15" hidden="false" customHeight="false" outlineLevel="0" collapsed="false">
      <c r="A17" s="2" t="s">
        <v>123</v>
      </c>
      <c r="B17" s="9" t="n">
        <f aca="false">SUMPRODUCT((CleanedSales[Sales])*(MONTH(CleanedSales[Date])=5))</f>
        <v>975.5</v>
      </c>
    </row>
    <row r="20" customFormat="false" ht="15" hidden="false" customHeight="false" outlineLevel="0" collapsed="false">
      <c r="A20" s="8" t="s">
        <v>124</v>
      </c>
    </row>
    <row r="21" customFormat="false" ht="15" hidden="false" customHeight="false" outlineLevel="0" collapsed="false">
      <c r="A21" s="1" t="s">
        <v>4</v>
      </c>
      <c r="B21" s="1" t="s">
        <v>116</v>
      </c>
    </row>
    <row r="22" customFormat="false" ht="15" hidden="false" customHeight="false" outlineLevel="0" collapsed="false">
      <c r="A22" s="2" t="s">
        <v>10</v>
      </c>
      <c r="B22" s="9" t="n">
        <f aca="false">SUMIFS(CleanedSales[Sales],CleanedSales[Branch],A22)</f>
        <v>1600</v>
      </c>
    </row>
    <row r="23" customFormat="false" ht="15" hidden="false" customHeight="false" outlineLevel="0" collapsed="false">
      <c r="A23" s="2" t="s">
        <v>14</v>
      </c>
      <c r="B23" s="9" t="n">
        <f aca="false">SUMIFS(CleanedSales[Sales],CleanedSales[Branch],A23)</f>
        <v>1547</v>
      </c>
    </row>
    <row r="24" customFormat="false" ht="15" hidden="false" customHeight="false" outlineLevel="0" collapsed="false">
      <c r="A24" s="2" t="s">
        <v>20</v>
      </c>
      <c r="B24" s="9" t="n">
        <f aca="false">SUMIFS(CleanedSales[Sales],CleanedSales[Branch],A24)</f>
        <v>892.5</v>
      </c>
    </row>
    <row r="25" customFormat="false" ht="15" hidden="false" customHeight="false" outlineLevel="0" collapsed="false">
      <c r="A25" s="2" t="s">
        <v>26</v>
      </c>
      <c r="B25" s="9" t="n">
        <f aca="false">SUMIFS(CleanedSales[Sales],CleanedSales[Branch],A25)</f>
        <v>1243</v>
      </c>
    </row>
    <row r="28" customFormat="false" ht="15" hidden="false" customHeight="false" outlineLevel="0" collapsed="false">
      <c r="A28" s="8" t="s">
        <v>125</v>
      </c>
    </row>
    <row r="29" customFormat="false" ht="15" hidden="false" customHeight="false" outlineLevel="0" collapsed="false">
      <c r="A29" s="1" t="s">
        <v>126</v>
      </c>
      <c r="B29" s="1" t="s">
        <v>2</v>
      </c>
      <c r="C29" s="1" t="s">
        <v>116</v>
      </c>
    </row>
    <row r="30" customFormat="false" ht="15" hidden="false" customHeight="false" outlineLevel="0" collapsed="false">
      <c r="A30" s="2" t="n">
        <v>1</v>
      </c>
      <c r="B30" s="2" t="s">
        <v>28</v>
      </c>
      <c r="C30" s="9" t="n">
        <f aca="false">SUMIFS(CleanedSales[Sales],CleanedSales[Product],B30)</f>
        <v>720</v>
      </c>
    </row>
    <row r="31" customFormat="false" ht="15" hidden="false" customHeight="false" outlineLevel="0" collapsed="false">
      <c r="A31" s="2" t="n">
        <v>2</v>
      </c>
      <c r="B31" s="2" t="s">
        <v>46</v>
      </c>
      <c r="C31" s="9" t="n">
        <f aca="false">SUMIFS(CleanedSales[Sales],CleanedSales[Product],B31)</f>
        <v>672</v>
      </c>
    </row>
    <row r="32" customFormat="false" ht="15" hidden="false" customHeight="false" outlineLevel="0" collapsed="false">
      <c r="A32" s="2" t="n">
        <v>3</v>
      </c>
      <c r="B32" s="2" t="s">
        <v>8</v>
      </c>
      <c r="C32" s="9" t="n">
        <f aca="false">SUMIFS(CleanedSales[Sales],CleanedSales[Product],B32)</f>
        <v>640</v>
      </c>
    </row>
    <row r="33" customFormat="false" ht="15" hidden="false" customHeight="false" outlineLevel="0" collapsed="false">
      <c r="A33" s="2" t="n">
        <v>4</v>
      </c>
      <c r="B33" s="2" t="s">
        <v>25</v>
      </c>
      <c r="C33" s="9" t="n">
        <f aca="false">SUMIFS(CleanedSales[Sales],CleanedSales[Product],B33)</f>
        <v>540</v>
      </c>
    </row>
    <row r="36" customFormat="false" ht="53.7" hidden="false" customHeight="true" outlineLevel="0" collapsed="false">
      <c r="A36" s="10" t="s">
        <v>127</v>
      </c>
      <c r="B36" s="10"/>
      <c r="C36" s="10"/>
      <c r="D36" s="10"/>
    </row>
  </sheetData>
  <mergeCells count="2">
    <mergeCell ref="A1:D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3"/>
  </cols>
  <sheetData>
    <row r="1" customFormat="false" ht="27.75" hidden="false" customHeight="true" outlineLevel="0" collapsed="false">
      <c r="A1" s="11" t="s">
        <v>128</v>
      </c>
      <c r="B1" s="11"/>
      <c r="C1" s="11"/>
      <c r="D1" s="11"/>
      <c r="E1" s="11"/>
      <c r="F1" s="11"/>
      <c r="G1" s="11"/>
      <c r="H1" s="11"/>
    </row>
    <row r="3" customFormat="false" ht="15.75" hidden="false" customHeight="true" outlineLevel="0" collapsed="false">
      <c r="A3" s="12" t="s">
        <v>129</v>
      </c>
      <c r="B3" s="12"/>
      <c r="C3" s="12" t="s">
        <v>130</v>
      </c>
      <c r="D3" s="12"/>
      <c r="E3" s="12" t="s">
        <v>131</v>
      </c>
      <c r="F3" s="12"/>
      <c r="G3" s="12" t="s">
        <v>132</v>
      </c>
      <c r="H3" s="12"/>
    </row>
    <row r="4" customFormat="false" ht="25.5" hidden="false" customHeight="true" outlineLevel="0" collapsed="false">
      <c r="A4" s="13" t="n">
        <f aca="false">SUM(CleanedSales[Sales])</f>
        <v>5282.5</v>
      </c>
      <c r="B4" s="13"/>
      <c r="C4" s="14" t="n">
        <f aca="false">COUNTA(CleanedSales[Transaction_ID])</f>
        <v>65</v>
      </c>
      <c r="D4" s="14"/>
      <c r="E4" s="14" t="n">
        <f aca="false">SUM(CleanedSales[Quantity])</f>
        <v>426</v>
      </c>
      <c r="F4" s="14"/>
      <c r="G4" s="13" t="n">
        <f aca="false">A4/C4</f>
        <v>81.2692307692308</v>
      </c>
      <c r="H4" s="13"/>
    </row>
    <row r="6" customFormat="false" ht="15" hidden="false" customHeight="false" outlineLevel="0" collapsed="false">
      <c r="A6" s="8" t="s">
        <v>115</v>
      </c>
      <c r="F6" s="8" t="s">
        <v>117</v>
      </c>
    </row>
    <row r="21" customFormat="false" ht="15" hidden="false" customHeight="false" outlineLevel="0" collapsed="false">
      <c r="A21" s="8" t="s">
        <v>124</v>
      </c>
      <c r="F21" s="8" t="s">
        <v>125</v>
      </c>
    </row>
    <row r="37" customFormat="false" ht="15" hidden="false" customHeight="false" outlineLevel="0" collapsed="false">
      <c r="A37" s="8" t="s">
        <v>133</v>
      </c>
    </row>
    <row r="38" customFormat="false" ht="15" hidden="false" customHeight="false" outlineLevel="0" collapsed="false">
      <c r="A38" s="15" t="s">
        <v>134</v>
      </c>
      <c r="B38" s="16" t="s">
        <v>135</v>
      </c>
    </row>
    <row r="39" customFormat="false" ht="15" hidden="false" customHeight="false" outlineLevel="0" collapsed="false">
      <c r="A39" s="15" t="s">
        <v>136</v>
      </c>
      <c r="B39" s="16" t="s">
        <v>135</v>
      </c>
    </row>
    <row r="40" customFormat="false" ht="15" hidden="false" customHeight="false" outlineLevel="0" collapsed="false">
      <c r="A40" s="15" t="s">
        <v>137</v>
      </c>
      <c r="B40" s="16" t="s">
        <v>135</v>
      </c>
    </row>
    <row r="42" customFormat="false" ht="15" hidden="false" customHeight="false" outlineLevel="0" collapsed="false">
      <c r="A42" s="8" t="s">
        <v>138</v>
      </c>
    </row>
    <row r="43" customFormat="false" ht="19.7" hidden="false" customHeight="false" outlineLevel="0" collapsed="false">
      <c r="A43" s="15" t="s">
        <v>139</v>
      </c>
      <c r="B43" s="17" t="n">
        <f aca="false">SUMPRODUCT((CleanedSales[Branch]=IF($B$38="All",CleanedSales[Branch],$B$38))*(CleanedSales[Category]=IF($B$39="All",CleanedSales[Category],$B$39))*(IF($B$40="All",1,MONTH(CleanedSales[Date])=MATCH($B$40,{"January","February","March","April","May"},0)))*CleanedSales[Sales])</f>
        <v>5282.5</v>
      </c>
    </row>
    <row r="44" customFormat="false" ht="19.7" hidden="false" customHeight="false" outlineLevel="0" collapsed="false">
      <c r="A44" s="15" t="s">
        <v>140</v>
      </c>
      <c r="B44" s="18" t="n">
        <f aca="false">SUMPRODUCT((CleanedSales[Branch]=IF($B$38="All",CleanedSales[Branch],$B$38))*(CleanedSales[Category]=IF($B$39="All",CleanedSales[Category],$B$39))*(IF($B$40="All",1,MONTH(CleanedSales[Date])=MATCH($B$40,{"January","February","March","April","May"},0))))</f>
        <v>65</v>
      </c>
    </row>
    <row r="45" customFormat="false" ht="19.7" hidden="false" customHeight="false" outlineLevel="0" collapsed="false">
      <c r="A45" s="15" t="s">
        <v>141</v>
      </c>
      <c r="B45" s="18" t="n">
        <f aca="false">SUMPRODUCT((CleanedSales[Branch]=IF($B$38="All",CleanedSales[Branch],$B$38))*(CleanedSales[Category]=IF($B$39="All",CleanedSales[Category],$B$39))*(IF($B$40="All",1,MONTH(CleanedSales[Date])=MATCH($B$40,{"January","February","March","April","May"},0)))*CleanedSales[Quantity])</f>
        <v>426</v>
      </c>
    </row>
    <row r="47" customFormat="false" ht="15" hidden="false" customHeight="true" outlineLevel="0" collapsed="false">
      <c r="A47" s="10" t="s">
        <v>142</v>
      </c>
      <c r="B47" s="10"/>
      <c r="C47" s="10"/>
      <c r="D47" s="10"/>
      <c r="E47" s="10"/>
      <c r="F47" s="10"/>
      <c r="G47" s="10"/>
      <c r="H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</row>
  </sheetData>
  <mergeCells count="10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47:H48"/>
  </mergeCells>
  <dataValidations count="3">
    <dataValidation allowBlank="false" errorStyle="stop" operator="between" showDropDown="false" showErrorMessage="false" showInputMessage="false" sqref="B38" type="list">
      <formula1>"All,Kajang,Bangi,Shah Alam,Putrajaya"</formula1>
      <formula2>0</formula2>
    </dataValidation>
    <dataValidation allowBlank="false" errorStyle="stop" operator="between" showDropDown="false" showErrorMessage="false" showInputMessage="false" sqref="B39" type="list">
      <formula1>"All,Beverages,Groceries,Household,Personal Care"</formula1>
      <formula2>0</formula2>
    </dataValidation>
    <dataValidation allowBlank="false" errorStyle="stop" operator="between" showDropDown="false" showErrorMessage="false" showInputMessage="false" sqref="B40" type="list">
      <formula1>"All,January,February,March,April,May"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2026-09-22T01:33:06Z</dcterms:created>
  <dc:creator>openpyxl</dc:creator>
  <dc:description/>
  <dc:language>en-US</dc:language>
  <cp:lastModifiedBy/>
  <dcterms:modified xsi:type="dcterms:W3CDTF">2026-09-22T01:33:10Z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